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1acda7e9d6d686/Documents/"/>
    </mc:Choice>
  </mc:AlternateContent>
  <xr:revisionPtr revIDLastSave="10" documentId="8_{FEFC1A60-EBE4-483C-A60E-97F84439683C}" xr6:coauthVersionLast="47" xr6:coauthVersionMax="47" xr10:uidLastSave="{64C4CAC5-6DF8-42E8-BFC9-651A92E95DE5}"/>
  <bookViews>
    <workbookView xWindow="-120" yWindow="-120" windowWidth="20730" windowHeight="11160" xr2:uid="{07496416-BD27-4356-9B33-FE11BAF5806E}"/>
  </bookViews>
  <sheets>
    <sheet name="Sheet1" sheetId="1" r:id="rId1"/>
  </sheets>
  <definedNames>
    <definedName name="_xlnm._FilterDatabase" localSheetId="0" hidden="1">Sheet1!$L$1:$L$1000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K2" i="1"/>
</calcChain>
</file>

<file path=xl/sharedStrings.xml><?xml version="1.0" encoding="utf-8"?>
<sst xmlns="http://schemas.openxmlformats.org/spreadsheetml/2006/main" count="899" uniqueCount="352">
  <si>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</si>
  <si>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</si>
  <si>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</si>
  <si>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</si>
  <si>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</si>
  <si>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</si>
  <si>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</si>
  <si>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</si>
  <si>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</si>
  <si>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</si>
  <si>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</si>
  <si>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</si>
  <si>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</si>
  <si>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</si>
  <si>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</si>
  <si>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</si>
  <si>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</si>
  <si>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</si>
  <si>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</si>
  <si>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</si>
  <si>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</si>
  <si>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</si>
  <si>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</si>
  <si>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</si>
  <si>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</si>
  <si>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</si>
  <si>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</si>
  <si>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</si>
  <si>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</si>
  <si>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</si>
  <si>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</si>
  <si>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</si>
  <si>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</si>
  <si>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</si>
  <si>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</si>
  <si>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</si>
  <si>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</si>
  <si>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</si>
  <si>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</si>
  <si>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</si>
  <si>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</si>
  <si>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</si>
  <si>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</si>
  <si>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</si>
  <si>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</si>
  <si>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</si>
  <si>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</si>
  <si>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</si>
  <si>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</si>
  <si>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</si>
  <si>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</si>
  <si>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</si>
  <si>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</si>
  <si>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</si>
  <si>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</si>
  <si>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</si>
  <si>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</si>
  <si>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</si>
  <si>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</si>
  <si>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</si>
  <si>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</si>
  <si>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</si>
  <si>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</si>
  <si>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</si>
  <si>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</si>
  <si>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</si>
  <si>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</si>
  <si>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</si>
  <si>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</si>
  <si>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</si>
  <si>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</si>
  <si>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</si>
  <si>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</si>
  <si>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</si>
  <si>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</si>
  <si>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</si>
  <si>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</si>
  <si>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</si>
  <si>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</si>
  <si>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</si>
  <si>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</si>
  <si>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</si>
  <si>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</si>
  <si>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</si>
  <si>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</si>
  <si>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</si>
  <si>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</si>
  <si>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</si>
  <si>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</si>
  <si>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</si>
  <si>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</si>
  <si>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</si>
  <si>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</si>
  <si>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</si>
  <si>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</si>
  <si>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</si>
  <si>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</si>
  <si>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</si>
  <si>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</si>
  <si>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</si>
  <si>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</si>
  <si>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</si>
  <si>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</si>
  <si>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</si>
  <si>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</si>
  <si>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</si>
  <si>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</si>
  <si>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</si>
  <si>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</si>
  <si>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</si>
  <si>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</si>
  <si>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</si>
  <si>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</si>
  <si>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</si>
  <si>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</si>
  <si>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</si>
  <si>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</si>
  <si>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</si>
  <si>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</si>
  <si>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</si>
  <si>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</si>
  <si>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</si>
  <si>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</si>
  <si>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</si>
  <si>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</si>
  <si>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</si>
  <si>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</si>
  <si>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</si>
  <si>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</si>
  <si>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</si>
  <si>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</si>
  <si>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</si>
  <si>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</si>
  <si>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</si>
  <si>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</si>
  <si>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</si>
  <si>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</si>
  <si>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</si>
  <si>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</si>
  <si>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</si>
  <si>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</si>
  <si>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</si>
  <si>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</si>
  <si>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</si>
  <si>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</si>
  <si>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</si>
  <si>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</si>
  <si>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</si>
  <si>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</si>
  <si>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</si>
  <si>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</si>
  <si>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</si>
  <si>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</si>
  <si>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</si>
  <si>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</si>
  <si>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</si>
  <si>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</si>
  <si>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</si>
  <si>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</si>
  <si>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</si>
  <si>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</si>
  <si>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</si>
  <si>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</si>
  <si>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</si>
  <si>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</si>
  <si>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</si>
  <si>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</si>
  <si>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</si>
  <si>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</si>
  <si>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</si>
  <si>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</si>
  <si>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</si>
  <si>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</si>
  <si>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</si>
  <si>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</si>
  <si>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</si>
  <si>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</si>
  <si>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</si>
  <si>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</si>
  <si>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</si>
  <si>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</si>
  <si>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</si>
  <si>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</si>
  <si>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</si>
  <si>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</si>
  <si>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</si>
  <si>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</si>
  <si>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</si>
  <si>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</si>
  <si>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</si>
  <si>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</si>
  <si>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</si>
  <si>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</si>
  <si>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</si>
  <si>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</si>
  <si>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</si>
  <si>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</si>
  <si>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</si>
  <si>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</si>
  <si>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</si>
  <si>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</si>
  <si>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</si>
  <si>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</si>
  <si>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</si>
  <si>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</si>
  <si>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</si>
  <si>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</si>
  <si>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</si>
  <si>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</si>
  <si>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</si>
  <si>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</si>
  <si>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</si>
  <si>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</si>
  <si>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</si>
  <si>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</si>
  <si>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</si>
  <si>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</si>
  <si>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</si>
  <si>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</si>
  <si>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</si>
  <si>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</si>
  <si>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</si>
  <si>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</si>
  <si>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</si>
  <si>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</si>
  <si>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</si>
  <si>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</si>
  <si>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</si>
  <si>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</si>
  <si>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</si>
  <si>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</si>
  <si>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</si>
  <si>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</si>
  <si>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</si>
  <si>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</si>
  <si>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</si>
  <si>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</si>
  <si>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</si>
  <si>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</si>
  <si>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</si>
  <si>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</si>
  <si>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</si>
  <si>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</si>
  <si>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</si>
  <si>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</si>
  <si>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</si>
  <si>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</si>
  <si>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</si>
  <si>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</si>
  <si>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</si>
  <si>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</si>
  <si>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</si>
  <si>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</si>
  <si>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</si>
  <si>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</si>
  <si>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</si>
  <si>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</si>
  <si>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</si>
  <si>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</si>
  <si>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</si>
  <si>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</si>
  <si>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</si>
  <si>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</si>
  <si>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</si>
  <si>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</si>
  <si>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</si>
  <si>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</si>
  <si>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</si>
  <si>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</si>
  <si>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</si>
  <si>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</si>
  <si>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</si>
  <si>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</si>
  <si>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</si>
  <si>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</si>
  <si>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</si>
  <si>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</si>
  <si>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</si>
  <si>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</si>
  <si>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</si>
  <si>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</si>
  <si>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</si>
  <si>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</si>
  <si>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</si>
  <si>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</si>
  <si>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</si>
  <si>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</si>
  <si>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</si>
  <si>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</si>
  <si>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</si>
  <si>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</si>
  <si>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</si>
  <si>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</si>
  <si>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</si>
  <si>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</si>
  <si>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</si>
  <si>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</si>
  <si>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</si>
  <si>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</si>
  <si>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</si>
  <si>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</si>
  <si>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</si>
  <si>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</si>
  <si>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</si>
  <si>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ORD1099</t>
  </si>
  <si>
    <t>3/18/2024</t>
  </si>
  <si>
    <t>Ques 1. Apply Data Validation to restrict Quantity values to only whole numbers between 1 and 10.</t>
  </si>
  <si>
    <t xml:space="preserve">Ans 1. Select Quantity Column -&gt; data tab -&gt; data tools -&gt; data validation </t>
  </si>
  <si>
    <t xml:space="preserve"> in allow select whole numbers</t>
  </si>
  <si>
    <t>etner minnimum range as 1 and maximum range as 10 -&gt; click OK.</t>
  </si>
  <si>
    <t xml:space="preserve"> Ques 2. Highlight all "Total Price" values greater than $2000 in green using Conditional Formatting.</t>
  </si>
  <si>
    <t>Ques 3. Remove duplicate records where "Order ID" is the same.</t>
  </si>
  <si>
    <t>Ans 3. Select the whole table -&gt; Data Tab -&gt; Data Tools -&gt; Remove Duplicates.</t>
  </si>
  <si>
    <t xml:space="preserve"> Ques 4. The "Customer Name" column contains full names. Split them into "First Name" and "Last Name."</t>
  </si>
  <si>
    <t>First Name</t>
  </si>
  <si>
    <t>Last Name</t>
  </si>
  <si>
    <t xml:space="preserve">Jane </t>
  </si>
  <si>
    <t>Isabella</t>
  </si>
  <si>
    <t>Daniel</t>
  </si>
  <si>
    <t>Alex</t>
  </si>
  <si>
    <t>Michael</t>
  </si>
  <si>
    <t>Jane</t>
  </si>
  <si>
    <t>Olivia</t>
  </si>
  <si>
    <t>Chris</t>
  </si>
  <si>
    <t>Sophia</t>
  </si>
  <si>
    <t>John</t>
  </si>
  <si>
    <t>Emma</t>
  </si>
  <si>
    <t>Smith</t>
  </si>
  <si>
    <t>Moore</t>
  </si>
  <si>
    <t>Davis</t>
  </si>
  <si>
    <t>Johnson</t>
  </si>
  <si>
    <t>Wilson</t>
  </si>
  <si>
    <t>Brown</t>
  </si>
  <si>
    <t>Miller</t>
  </si>
  <si>
    <t>Taylor</t>
  </si>
  <si>
    <t>Anderson</t>
  </si>
  <si>
    <t>Thomas</t>
  </si>
  <si>
    <t>click on the second customer's first name column press ctrl+E or either use flash fill , do the same for the last name column.</t>
  </si>
  <si>
    <t xml:space="preserve">Ans 4. Insert two columns for first name and last name -&gt;write first name and last name of the first customer -&gt; </t>
  </si>
  <si>
    <t xml:space="preserve">Ques 5. Use Conditional Formatting to highlight rows where "Category" is "Electronics" and "Total Price" is greater than$ 1000.  </t>
  </si>
  <si>
    <t>( Hint : Use formula in new rule)</t>
  </si>
  <si>
    <t>Ans 6. Select the region column -&gt;Home Tab -&gt;Editing -&gt;Sort &amp; Filter -&gt; Filter</t>
  </si>
  <si>
    <t>Ans 5. select the table-&gt;Home Tab -&gt; Conditional Formatting -&gt; new rules -&gt; use formula</t>
  </si>
  <si>
    <t>Ques 6. Filter the dataset to show only orders from the "North" region.</t>
  </si>
  <si>
    <t>enter formula -&gt; [=and($H2="Electronics",$K2&gt;1000)] and choose colour.</t>
  </si>
  <si>
    <t>Ques 7. Some "Quantity" values contain text (e.g., "5"). Find and correct these errors.</t>
  </si>
  <si>
    <t>Ans 7. Home Tab -&gt; Find &amp; Select -&gt; Replace "Five" with 5</t>
  </si>
  <si>
    <t>Ques 8. Identify customers who placed multiple orders by checking duplicate "Customer Names."</t>
  </si>
  <si>
    <t>Order Flag</t>
  </si>
  <si>
    <t xml:space="preserve">Ans 8. Create a helper column to find out customers with multiple orders -&gt; </t>
  </si>
  <si>
    <t>Apply this formula -&gt; [ =if(countif( $B$2:$B$101,B2)&gt;1,"Multiple Orders","Single Order")], and drag this formula to the rest of the cells.</t>
  </si>
  <si>
    <t>Ans 2. Select the total price column -&gt; Home Tab -&gt; Conditional Formatting -&gt; Greater than -&gt;  Greater &gt;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</si>
</sst>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0" xfId="0" applyFont="1" applyBorder="1" applyAlignment="1"/>
    <xf numFmtId="0" fontId="1" fillId="0" borderId="1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/>
    <xf numFmtId="0" fontId="2" fillId="2" borderId="3" xfId="0" applyFont="1" applyFill="1" applyBorder="1" applyAlignment="1">
      <alignment horizontal="left" vertical="center" wrapText="1" indent="1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2F50-4E51-4528-B5A1-280D78E7CD95}">
  <dimension ref="A1:AM1000"/>
  <sheetViews>
    <sheetView tabSelected="1" topLeftCell="J1" workbookViewId="0">
      <selection activeCell="Z3" sqref="Z3"/>
    </sheetView>
  </sheetViews>
  <sheetFormatPr defaultRowHeight="15" x14ac:dyDescent="0.25"/>
  <cols>
    <col min="1" max="1" width="9" bestFit="1" customWidth="1"/>
    <col min="2" max="2" width="15.85546875" bestFit="1" customWidth="1"/>
    <col min="3" max="4" width="15.85546875" customWidth="1"/>
    <col min="5" max="5" width="24.42578125" customWidth="1"/>
    <col min="6" max="6" width="13.42578125" bestFit="1" customWidth="1"/>
    <col min="7" max="7" width="12.85546875" bestFit="1" customWidth="1"/>
    <col min="8" max="8" width="11.28515625" bestFit="1" customWidth="1"/>
    <col min="9" max="9" width="8" bestFit="1" customWidth="1"/>
    <col min="10" max="10" width="11.85546875" bestFit="1" customWidth="1"/>
    <col min="11" max="11" width="9.85546875" bestFit="1" customWidth="1"/>
    <col min="12" max="12" width="12.85546875" customWidth="1"/>
    <col min="13" max="13" width="10.140625" bestFit="1" customWidth="1"/>
    <col min="14" max="14" width="17.28515625" customWidth="1"/>
    <col min="35" max="35" width="5.42578125" customWidth="1"/>
    <col min="36" max="37" width="9.140625" hidden="1" customWidth="1"/>
    <col min="38" max="38" width="5" hidden="1" customWidth="1"/>
    <col min="39" max="39" width="9.140625" hidden="1" customWidth="1"/>
  </cols>
  <sheetData>
    <row r="1" spans="1:39" ht="26.25" thickBot="1" x14ac:dyDescent="0.3">
      <c r="A1" s="9" t="s">
        <v>0</v>
      </c>
      <c r="B1" s="9" t="s">
        <v>1</v>
      </c>
      <c r="C1" s="9" t="s">
        <v>314</v>
      </c>
      <c r="D1" s="9" t="s">
        <v>315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17" t="s">
        <v>348</v>
      </c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9" ht="15.75" thickBot="1" x14ac:dyDescent="0.3">
      <c r="A2" s="5" t="s">
        <v>11</v>
      </c>
      <c r="B2" s="5" t="s">
        <v>12</v>
      </c>
      <c r="C2" s="5" t="s">
        <v>316</v>
      </c>
      <c r="D2" s="5" t="s">
        <v>327</v>
      </c>
      <c r="E2" s="5" t="s">
        <v>13</v>
      </c>
      <c r="F2" s="6">
        <v>9184935163</v>
      </c>
      <c r="G2" s="5" t="s">
        <v>14</v>
      </c>
      <c r="H2" s="5" t="s">
        <v>15</v>
      </c>
      <c r="I2" s="6">
        <v>4</v>
      </c>
      <c r="J2" s="6">
        <v>81</v>
      </c>
      <c r="K2" s="6">
        <f>I2*J2</f>
        <v>324</v>
      </c>
      <c r="L2" s="5" t="s">
        <v>16</v>
      </c>
      <c r="M2" s="7">
        <v>45630</v>
      </c>
      <c r="N2" s="5" t="str">
        <f>IF(COUNTIF($B$2:$B$101,B2)&gt;1,"Multiple Orders","Single Order")</f>
        <v>Single Order</v>
      </c>
      <c r="O2" s="18" t="s">
        <v>306</v>
      </c>
      <c r="P2" s="19"/>
      <c r="Q2" s="19"/>
      <c r="R2" s="19"/>
      <c r="S2" s="19"/>
      <c r="T2" s="19"/>
      <c r="U2" s="19"/>
      <c r="V2" s="19"/>
      <c r="W2" s="20"/>
      <c r="X2" s="1"/>
      <c r="Y2" s="1"/>
      <c r="Z2" s="1"/>
      <c r="AA2" s="1"/>
      <c r="AB2" s="1"/>
    </row>
    <row r="3" spans="1:39" ht="15.75" thickBot="1" x14ac:dyDescent="0.3">
      <c r="A3" s="1" t="s">
        <v>17</v>
      </c>
      <c r="B3" s="1" t="s">
        <v>18</v>
      </c>
      <c r="C3" s="1" t="s">
        <v>317</v>
      </c>
      <c r="D3" s="1" t="s">
        <v>328</v>
      </c>
      <c r="E3" s="1" t="s">
        <v>19</v>
      </c>
      <c r="F3" s="2">
        <v>6136505587</v>
      </c>
      <c r="G3" s="1" t="s">
        <v>20</v>
      </c>
      <c r="H3" s="1" t="s">
        <v>15</v>
      </c>
      <c r="I3" s="2">
        <v>2</v>
      </c>
      <c r="J3" s="2">
        <v>121</v>
      </c>
      <c r="K3" s="2">
        <v>242</v>
      </c>
      <c r="L3" s="1" t="s">
        <v>16</v>
      </c>
      <c r="M3" s="2" t="s">
        <v>21</v>
      </c>
      <c r="N3" s="1" t="str">
        <f t="shared" ref="N3:N66" si="0">IF(COUNTIF($B$2:$B$101,B3)&gt;1,"Multiple Orders","Single Order")</f>
        <v>Single Order</v>
      </c>
      <c r="O3" s="18" t="s">
        <v>307</v>
      </c>
      <c r="P3" s="19"/>
      <c r="Q3" s="19"/>
      <c r="R3" s="19"/>
      <c r="S3" s="19"/>
      <c r="T3" s="19"/>
      <c r="U3" s="19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 ht="15.75" customHeight="1" thickBot="1" x14ac:dyDescent="0.3">
      <c r="A4" s="1" t="s">
        <v>22</v>
      </c>
      <c r="B4" s="1" t="s">
        <v>23</v>
      </c>
      <c r="C4" s="1" t="s">
        <v>318</v>
      </c>
      <c r="D4" s="1" t="s">
        <v>329</v>
      </c>
      <c r="E4" s="1" t="s">
        <v>24</v>
      </c>
      <c r="F4" s="2">
        <v>9075280817</v>
      </c>
      <c r="G4" s="1" t="s">
        <v>25</v>
      </c>
      <c r="H4" s="1" t="s">
        <v>26</v>
      </c>
      <c r="I4" s="2">
        <v>4</v>
      </c>
      <c r="J4" s="2">
        <v>239</v>
      </c>
      <c r="K4" s="2">
        <v>956</v>
      </c>
      <c r="L4" s="1" t="s">
        <v>16</v>
      </c>
      <c r="M4" s="3">
        <v>45574</v>
      </c>
      <c r="N4" s="1" t="str">
        <f t="shared" si="0"/>
        <v>Single Order</v>
      </c>
      <c r="O4" s="18" t="s">
        <v>308</v>
      </c>
      <c r="P4" s="19"/>
      <c r="Q4" s="20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9" ht="15.75" thickBot="1" x14ac:dyDescent="0.3">
      <c r="A5" s="1" t="s">
        <v>27</v>
      </c>
      <c r="B5" s="1" t="s">
        <v>28</v>
      </c>
      <c r="C5" s="1" t="s">
        <v>319</v>
      </c>
      <c r="D5" s="1" t="s">
        <v>328</v>
      </c>
      <c r="E5" s="1" t="s">
        <v>29</v>
      </c>
      <c r="F5" s="2">
        <v>7461364854</v>
      </c>
      <c r="G5" s="1" t="s">
        <v>14</v>
      </c>
      <c r="H5" s="1" t="s">
        <v>15</v>
      </c>
      <c r="I5" s="2">
        <v>4</v>
      </c>
      <c r="J5" s="2">
        <v>500</v>
      </c>
      <c r="K5" s="2">
        <v>2000</v>
      </c>
      <c r="L5" s="1" t="s">
        <v>16</v>
      </c>
      <c r="M5" s="3">
        <v>45447</v>
      </c>
      <c r="N5" s="1" t="str">
        <f t="shared" si="0"/>
        <v>Multiple Orders</v>
      </c>
      <c r="O5" s="18" t="s">
        <v>309</v>
      </c>
      <c r="P5" s="19"/>
      <c r="Q5" s="19"/>
      <c r="R5" s="19"/>
      <c r="S5" s="19"/>
      <c r="T5" s="19"/>
      <c r="U5" s="20"/>
      <c r="V5" s="1"/>
      <c r="W5" s="1"/>
      <c r="X5" s="1"/>
      <c r="Y5" s="1"/>
      <c r="Z5" s="1"/>
      <c r="AA5" s="1"/>
      <c r="AB5" s="1"/>
    </row>
    <row r="6" spans="1:39" ht="15" customHeight="1" thickBot="1" x14ac:dyDescent="0.3">
      <c r="A6" s="1" t="s">
        <v>30</v>
      </c>
      <c r="B6" s="1" t="s">
        <v>31</v>
      </c>
      <c r="C6" s="1" t="s">
        <v>320</v>
      </c>
      <c r="D6" s="1" t="s">
        <v>330</v>
      </c>
      <c r="E6" s="1" t="s">
        <v>32</v>
      </c>
      <c r="F6" s="2">
        <v>7541804686</v>
      </c>
      <c r="G6" s="1" t="s">
        <v>33</v>
      </c>
      <c r="H6" s="1" t="s">
        <v>34</v>
      </c>
      <c r="I6" s="1">
        <v>5</v>
      </c>
      <c r="J6" s="2">
        <v>423</v>
      </c>
      <c r="K6" s="4" t="e">
        <v>#VALUE!</v>
      </c>
      <c r="L6" s="1" t="s">
        <v>35</v>
      </c>
      <c r="M6" s="2" t="s">
        <v>36</v>
      </c>
      <c r="N6" s="1" t="str">
        <f t="shared" si="0"/>
        <v>Multiple Orders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9" ht="15.75" thickBot="1" x14ac:dyDescent="0.3">
      <c r="A7" s="1" t="s">
        <v>37</v>
      </c>
      <c r="B7" s="1" t="s">
        <v>38</v>
      </c>
      <c r="C7" s="1" t="s">
        <v>318</v>
      </c>
      <c r="D7" s="1" t="s">
        <v>330</v>
      </c>
      <c r="E7" s="1" t="s">
        <v>39</v>
      </c>
      <c r="F7" s="2">
        <v>9961228449</v>
      </c>
      <c r="G7" s="1" t="s">
        <v>40</v>
      </c>
      <c r="H7" s="1" t="s">
        <v>15</v>
      </c>
      <c r="I7" s="2">
        <v>9</v>
      </c>
      <c r="J7" s="2">
        <v>160</v>
      </c>
      <c r="K7" s="2">
        <v>1440</v>
      </c>
      <c r="L7" s="1" t="s">
        <v>41</v>
      </c>
      <c r="M7" s="2" t="s">
        <v>42</v>
      </c>
      <c r="N7" s="1" t="str">
        <f t="shared" si="0"/>
        <v>Multiple Orders</v>
      </c>
      <c r="O7" s="21" t="s">
        <v>310</v>
      </c>
      <c r="P7" s="22"/>
      <c r="Q7" s="22"/>
      <c r="R7" s="22"/>
      <c r="S7" s="22"/>
      <c r="T7" s="22"/>
      <c r="U7" s="22"/>
      <c r="V7" s="22"/>
      <c r="W7" s="23"/>
      <c r="X7" s="1"/>
      <c r="Y7" s="1"/>
      <c r="Z7" s="1"/>
      <c r="AA7" s="1"/>
      <c r="AB7" s="1"/>
    </row>
    <row r="8" spans="1:39" ht="15.75" thickBot="1" x14ac:dyDescent="0.3">
      <c r="A8" s="1" t="s">
        <v>43</v>
      </c>
      <c r="B8" s="1" t="s">
        <v>44</v>
      </c>
      <c r="C8" s="1" t="s">
        <v>317</v>
      </c>
      <c r="D8" s="1" t="s">
        <v>329</v>
      </c>
      <c r="E8" s="1" t="s">
        <v>45</v>
      </c>
      <c r="F8" s="2">
        <v>9026113008</v>
      </c>
      <c r="G8" s="1" t="s">
        <v>46</v>
      </c>
      <c r="H8" s="1" t="s">
        <v>15</v>
      </c>
      <c r="I8" s="2">
        <v>1</v>
      </c>
      <c r="J8" s="2">
        <v>348</v>
      </c>
      <c r="K8" s="2">
        <v>348</v>
      </c>
      <c r="L8" s="1" t="s">
        <v>41</v>
      </c>
      <c r="M8" s="2" t="s">
        <v>47</v>
      </c>
      <c r="N8" s="1" t="str">
        <f t="shared" si="0"/>
        <v>Single Order</v>
      </c>
      <c r="O8" s="14" t="s">
        <v>351</v>
      </c>
      <c r="P8" s="15"/>
      <c r="Q8" s="15"/>
      <c r="R8" s="15"/>
      <c r="S8" s="15"/>
      <c r="T8" s="15"/>
      <c r="U8" s="15"/>
      <c r="V8" s="15"/>
      <c r="W8" s="15"/>
      <c r="X8" s="16"/>
      <c r="Y8" s="1"/>
      <c r="Z8" s="1"/>
      <c r="AA8" s="1"/>
      <c r="AB8" s="1"/>
    </row>
    <row r="9" spans="1:39" ht="15.75" thickBot="1" x14ac:dyDescent="0.3">
      <c r="A9" s="1" t="s">
        <v>48</v>
      </c>
      <c r="B9" s="1" t="s">
        <v>49</v>
      </c>
      <c r="C9" s="1" t="s">
        <v>321</v>
      </c>
      <c r="D9" s="1" t="s">
        <v>329</v>
      </c>
      <c r="E9" s="1" t="s">
        <v>50</v>
      </c>
      <c r="F9" s="2">
        <v>9721519026</v>
      </c>
      <c r="G9" s="1" t="s">
        <v>46</v>
      </c>
      <c r="H9" s="1" t="s">
        <v>15</v>
      </c>
      <c r="I9" s="2">
        <v>7</v>
      </c>
      <c r="J9" s="2">
        <v>152</v>
      </c>
      <c r="K9" s="2">
        <v>1064</v>
      </c>
      <c r="L9" s="1" t="s">
        <v>41</v>
      </c>
      <c r="M9" s="2" t="s">
        <v>51</v>
      </c>
      <c r="N9" s="1" t="str">
        <f t="shared" si="0"/>
        <v>Multiple Orders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39" ht="15.75" thickBot="1" x14ac:dyDescent="0.3">
      <c r="A10" s="1" t="s">
        <v>52</v>
      </c>
      <c r="B10" s="1" t="s">
        <v>53</v>
      </c>
      <c r="C10" s="1" t="s">
        <v>319</v>
      </c>
      <c r="D10" s="1" t="s">
        <v>331</v>
      </c>
      <c r="E10" s="1" t="s">
        <v>54</v>
      </c>
      <c r="F10" s="2">
        <v>7525876051</v>
      </c>
      <c r="G10" s="1" t="s">
        <v>55</v>
      </c>
      <c r="H10" s="1" t="s">
        <v>34</v>
      </c>
      <c r="I10" s="1">
        <v>5</v>
      </c>
      <c r="J10" s="2">
        <v>369</v>
      </c>
      <c r="K10" s="4" t="e">
        <v>#VALUE!</v>
      </c>
      <c r="L10" s="1" t="s">
        <v>16</v>
      </c>
      <c r="M10" s="2" t="s">
        <v>56</v>
      </c>
      <c r="N10" s="1" t="str">
        <f t="shared" si="0"/>
        <v>Multiple Orders</v>
      </c>
      <c r="O10" s="21" t="s">
        <v>311</v>
      </c>
      <c r="P10" s="22"/>
      <c r="Q10" s="22"/>
      <c r="R10" s="22"/>
      <c r="S10" s="22"/>
      <c r="T10" s="23"/>
      <c r="U10" s="1"/>
      <c r="V10" s="1"/>
      <c r="W10" s="1"/>
      <c r="X10" s="1"/>
      <c r="Y10" s="1"/>
      <c r="Z10" s="1"/>
      <c r="AA10" s="1"/>
      <c r="AB10" s="1"/>
    </row>
    <row r="11" spans="1:39" ht="15.75" thickBot="1" x14ac:dyDescent="0.3">
      <c r="A11" s="1" t="s">
        <v>57</v>
      </c>
      <c r="B11" s="1" t="s">
        <v>58</v>
      </c>
      <c r="C11" s="1" t="s">
        <v>317</v>
      </c>
      <c r="D11" s="1" t="s">
        <v>332</v>
      </c>
      <c r="E11" s="1" t="s">
        <v>59</v>
      </c>
      <c r="F11" s="2">
        <v>8294113287</v>
      </c>
      <c r="G11" s="1" t="s">
        <v>55</v>
      </c>
      <c r="H11" s="1" t="s">
        <v>15</v>
      </c>
      <c r="I11" s="2">
        <v>8</v>
      </c>
      <c r="J11" s="2">
        <v>204</v>
      </c>
      <c r="K11" s="2">
        <v>1632</v>
      </c>
      <c r="L11" s="1" t="s">
        <v>60</v>
      </c>
      <c r="M11" s="2" t="s">
        <v>61</v>
      </c>
      <c r="N11" s="1" t="str">
        <f t="shared" si="0"/>
        <v>Multiple Orders</v>
      </c>
      <c r="O11" s="18" t="s">
        <v>312</v>
      </c>
      <c r="P11" s="19"/>
      <c r="Q11" s="19"/>
      <c r="R11" s="19"/>
      <c r="S11" s="19"/>
      <c r="T11" s="19"/>
      <c r="U11" s="19"/>
      <c r="V11" s="20"/>
      <c r="W11" s="1"/>
      <c r="X11" s="1"/>
      <c r="Y11" s="1"/>
      <c r="Z11" s="1"/>
      <c r="AA11" s="1"/>
      <c r="AB11" s="1"/>
    </row>
    <row r="12" spans="1:39" ht="15.75" thickBot="1" x14ac:dyDescent="0.3">
      <c r="A12" s="1" t="s">
        <v>62</v>
      </c>
      <c r="B12" s="1" t="s">
        <v>63</v>
      </c>
      <c r="C12" s="1" t="s">
        <v>322</v>
      </c>
      <c r="D12" s="1" t="s">
        <v>327</v>
      </c>
      <c r="E12" s="1" t="s">
        <v>64</v>
      </c>
      <c r="F12" s="2">
        <v>6983753977</v>
      </c>
      <c r="G12" s="1" t="s">
        <v>20</v>
      </c>
      <c r="H12" s="1" t="s">
        <v>15</v>
      </c>
      <c r="I12" s="2">
        <v>6</v>
      </c>
      <c r="J12" s="2">
        <v>215</v>
      </c>
      <c r="K12" s="2">
        <v>1290</v>
      </c>
      <c r="L12" s="1" t="s">
        <v>60</v>
      </c>
      <c r="M12" s="3">
        <v>45415</v>
      </c>
      <c r="N12" s="1" t="str">
        <f t="shared" si="0"/>
        <v>Single Order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39" ht="15.75" thickBot="1" x14ac:dyDescent="0.3">
      <c r="A13" s="1" t="s">
        <v>65</v>
      </c>
      <c r="B13" s="1" t="s">
        <v>66</v>
      </c>
      <c r="C13" s="1" t="s">
        <v>317</v>
      </c>
      <c r="D13" s="1" t="s">
        <v>331</v>
      </c>
      <c r="E13" s="1" t="s">
        <v>67</v>
      </c>
      <c r="F13" s="2">
        <v>6913224047</v>
      </c>
      <c r="G13" s="1" t="s">
        <v>68</v>
      </c>
      <c r="H13" s="1" t="s">
        <v>15</v>
      </c>
      <c r="I13" s="2">
        <v>7</v>
      </c>
      <c r="J13" s="2">
        <v>462</v>
      </c>
      <c r="K13" s="2">
        <v>3234</v>
      </c>
      <c r="L13" s="1" t="s">
        <v>60</v>
      </c>
      <c r="M13" s="2" t="s">
        <v>69</v>
      </c>
      <c r="N13" s="1" t="str">
        <f t="shared" si="0"/>
        <v>Single Order</v>
      </c>
      <c r="O13" s="24" t="s">
        <v>313</v>
      </c>
      <c r="P13" s="25"/>
      <c r="Q13" s="25"/>
      <c r="R13" s="25"/>
      <c r="S13" s="25"/>
      <c r="T13" s="25"/>
      <c r="U13" s="25"/>
      <c r="V13" s="25"/>
      <c r="W13" s="25"/>
      <c r="X13" s="26"/>
      <c r="Y13" s="12"/>
      <c r="Z13" s="12"/>
      <c r="AA13" s="1"/>
      <c r="AB13" s="1"/>
    </row>
    <row r="14" spans="1:39" ht="15.75" thickBot="1" x14ac:dyDescent="0.3">
      <c r="A14" s="1" t="s">
        <v>70</v>
      </c>
      <c r="B14" s="1" t="s">
        <v>71</v>
      </c>
      <c r="C14" s="1" t="s">
        <v>323</v>
      </c>
      <c r="D14" s="1" t="s">
        <v>332</v>
      </c>
      <c r="E14" s="1" t="s">
        <v>72</v>
      </c>
      <c r="F14" s="2">
        <v>7059257080</v>
      </c>
      <c r="G14" s="1" t="s">
        <v>25</v>
      </c>
      <c r="H14" s="1" t="s">
        <v>34</v>
      </c>
      <c r="I14" s="1">
        <v>5</v>
      </c>
      <c r="J14" s="2">
        <v>392</v>
      </c>
      <c r="K14" s="4" t="e">
        <v>#VALUE!</v>
      </c>
      <c r="L14" s="1" t="s">
        <v>35</v>
      </c>
      <c r="M14" s="2" t="s">
        <v>73</v>
      </c>
      <c r="N14" s="1" t="str">
        <f t="shared" si="0"/>
        <v>Single Order</v>
      </c>
      <c r="O14" s="11" t="s">
        <v>338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8"/>
      <c r="AB14" s="1"/>
    </row>
    <row r="15" spans="1:39" ht="15.75" thickBot="1" x14ac:dyDescent="0.3">
      <c r="A15" s="1" t="s">
        <v>74</v>
      </c>
      <c r="B15" s="1" t="s">
        <v>75</v>
      </c>
      <c r="C15" s="1" t="s">
        <v>322</v>
      </c>
      <c r="D15" s="1" t="s">
        <v>329</v>
      </c>
      <c r="E15" s="1" t="s">
        <v>76</v>
      </c>
      <c r="F15" s="2">
        <v>6594130308</v>
      </c>
      <c r="G15" s="1" t="s">
        <v>25</v>
      </c>
      <c r="H15" s="1" t="s">
        <v>26</v>
      </c>
      <c r="I15" s="2">
        <v>2</v>
      </c>
      <c r="J15" s="2">
        <v>396</v>
      </c>
      <c r="K15" s="2">
        <v>792</v>
      </c>
      <c r="L15" s="1" t="s">
        <v>16</v>
      </c>
      <c r="M15" s="2" t="s">
        <v>77</v>
      </c>
      <c r="N15" s="1" t="str">
        <f t="shared" si="0"/>
        <v>Multiple Orders</v>
      </c>
      <c r="O15" s="27" t="s">
        <v>337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8"/>
      <c r="AB15" s="1"/>
    </row>
    <row r="16" spans="1:39" ht="15.75" thickBot="1" x14ac:dyDescent="0.3">
      <c r="A16" s="1" t="s">
        <v>78</v>
      </c>
      <c r="B16" s="1" t="s">
        <v>79</v>
      </c>
      <c r="C16" s="1" t="s">
        <v>319</v>
      </c>
      <c r="D16" s="1" t="s">
        <v>332</v>
      </c>
      <c r="E16" s="1" t="s">
        <v>80</v>
      </c>
      <c r="F16" s="2">
        <v>9401954956</v>
      </c>
      <c r="G16" s="1" t="s">
        <v>40</v>
      </c>
      <c r="H16" s="1" t="s">
        <v>34</v>
      </c>
      <c r="I16" s="2">
        <v>2</v>
      </c>
      <c r="J16" s="2">
        <v>207</v>
      </c>
      <c r="K16" s="2">
        <v>414</v>
      </c>
      <c r="L16" s="1" t="s">
        <v>35</v>
      </c>
      <c r="M16" s="2" t="s">
        <v>81</v>
      </c>
      <c r="N16" s="1" t="str">
        <f t="shared" si="0"/>
        <v>Multiple Orders</v>
      </c>
      <c r="O16" s="5"/>
      <c r="AB16" s="1"/>
    </row>
    <row r="17" spans="1:28" ht="15.75" thickBot="1" x14ac:dyDescent="0.3">
      <c r="A17" s="1" t="s">
        <v>82</v>
      </c>
      <c r="B17" s="1" t="s">
        <v>83</v>
      </c>
      <c r="C17" s="1" t="s">
        <v>318</v>
      </c>
      <c r="D17" s="1" t="s">
        <v>333</v>
      </c>
      <c r="E17" s="1" t="s">
        <v>84</v>
      </c>
      <c r="F17" s="2">
        <v>8376087131</v>
      </c>
      <c r="G17" s="1" t="s">
        <v>20</v>
      </c>
      <c r="H17" s="1" t="s">
        <v>15</v>
      </c>
      <c r="I17" s="2">
        <v>2</v>
      </c>
      <c r="J17" s="2">
        <v>359</v>
      </c>
      <c r="K17" s="2">
        <v>718</v>
      </c>
      <c r="L17" s="1" t="s">
        <v>41</v>
      </c>
      <c r="M17" s="2" t="s">
        <v>85</v>
      </c>
      <c r="N17" s="1" t="str">
        <f t="shared" si="0"/>
        <v>Multiple Orders</v>
      </c>
      <c r="O17" s="18" t="s">
        <v>339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  <c r="AA17" s="1"/>
      <c r="AB17" s="1"/>
    </row>
    <row r="18" spans="1:28" ht="15.75" thickBot="1" x14ac:dyDescent="0.3">
      <c r="A18" s="1" t="s">
        <v>86</v>
      </c>
      <c r="B18" s="1" t="s">
        <v>87</v>
      </c>
      <c r="C18" s="1" t="s">
        <v>322</v>
      </c>
      <c r="D18" s="1" t="s">
        <v>330</v>
      </c>
      <c r="E18" s="1" t="s">
        <v>88</v>
      </c>
      <c r="F18" s="2">
        <v>7260573448</v>
      </c>
      <c r="G18" s="1" t="s">
        <v>40</v>
      </c>
      <c r="H18" s="1" t="s">
        <v>15</v>
      </c>
      <c r="I18" s="2">
        <v>8</v>
      </c>
      <c r="J18" s="2">
        <v>11</v>
      </c>
      <c r="K18" s="2">
        <v>88</v>
      </c>
      <c r="L18" s="1" t="s">
        <v>41</v>
      </c>
      <c r="M18" s="2" t="s">
        <v>89</v>
      </c>
      <c r="N18" s="1" t="str">
        <f t="shared" si="0"/>
        <v>Single Order</v>
      </c>
      <c r="O18" s="18" t="s">
        <v>340</v>
      </c>
      <c r="P18" s="19"/>
      <c r="Q18" s="2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thickBot="1" x14ac:dyDescent="0.3">
      <c r="A19" s="1" t="s">
        <v>90</v>
      </c>
      <c r="B19" s="1" t="s">
        <v>91</v>
      </c>
      <c r="C19" s="1" t="s">
        <v>318</v>
      </c>
      <c r="D19" s="1" t="s">
        <v>332</v>
      </c>
      <c r="E19" s="1" t="s">
        <v>92</v>
      </c>
      <c r="F19" s="2">
        <v>8180476188</v>
      </c>
      <c r="G19" s="1" t="s">
        <v>46</v>
      </c>
      <c r="H19" s="1" t="s">
        <v>15</v>
      </c>
      <c r="I19" s="1">
        <v>5</v>
      </c>
      <c r="J19" s="2">
        <v>440</v>
      </c>
      <c r="K19" s="4" t="e">
        <v>#VALUE!</v>
      </c>
      <c r="L19" s="1" t="s">
        <v>60</v>
      </c>
      <c r="M19" s="2" t="s">
        <v>93</v>
      </c>
      <c r="N19" s="1" t="str">
        <f t="shared" si="0"/>
        <v>Multiple Orders</v>
      </c>
      <c r="O19" s="18" t="s">
        <v>342</v>
      </c>
      <c r="P19" s="19"/>
      <c r="Q19" s="19"/>
      <c r="R19" s="19"/>
      <c r="S19" s="19"/>
      <c r="T19" s="19"/>
      <c r="U19" s="19"/>
      <c r="V19" s="19"/>
      <c r="W19" s="20"/>
      <c r="X19" s="1"/>
      <c r="Y19" s="1"/>
      <c r="Z19" s="1"/>
      <c r="AA19" s="1"/>
      <c r="AB19" s="1"/>
    </row>
    <row r="20" spans="1:28" ht="15.75" thickBot="1" x14ac:dyDescent="0.3">
      <c r="A20" s="1" t="s">
        <v>94</v>
      </c>
      <c r="B20" s="1" t="s">
        <v>53</v>
      </c>
      <c r="C20" s="1" t="s">
        <v>319</v>
      </c>
      <c r="D20" s="1" t="s">
        <v>331</v>
      </c>
      <c r="E20" s="1" t="s">
        <v>54</v>
      </c>
      <c r="F20" s="2">
        <v>9274958945</v>
      </c>
      <c r="G20" s="1" t="s">
        <v>95</v>
      </c>
      <c r="H20" s="1" t="s">
        <v>15</v>
      </c>
      <c r="I20" s="2">
        <v>9</v>
      </c>
      <c r="J20" s="2">
        <v>498</v>
      </c>
      <c r="K20" s="2">
        <v>4482</v>
      </c>
      <c r="L20" s="1" t="s">
        <v>41</v>
      </c>
      <c r="M20" s="3">
        <v>45536</v>
      </c>
      <c r="N20" s="1" t="str">
        <f t="shared" si="0"/>
        <v>Multiple Orders</v>
      </c>
      <c r="O20" s="18" t="s">
        <v>344</v>
      </c>
      <c r="P20" s="19"/>
      <c r="Q20" s="19"/>
      <c r="R20" s="19"/>
      <c r="S20" s="19"/>
      <c r="T20" s="19"/>
      <c r="U20" s="19"/>
      <c r="V20" s="19"/>
      <c r="W20" s="20"/>
      <c r="X20" s="1"/>
      <c r="Y20" s="1"/>
      <c r="Z20" s="1"/>
      <c r="AA20" s="1"/>
      <c r="AB20" s="1"/>
    </row>
    <row r="21" spans="1:28" ht="15.75" thickBot="1" x14ac:dyDescent="0.3">
      <c r="A21" s="1" t="s">
        <v>96</v>
      </c>
      <c r="B21" s="1" t="s">
        <v>97</v>
      </c>
      <c r="C21" s="1" t="s">
        <v>324</v>
      </c>
      <c r="D21" s="1" t="s">
        <v>327</v>
      </c>
      <c r="E21" s="1" t="s">
        <v>98</v>
      </c>
      <c r="F21" s="2">
        <v>6480468219</v>
      </c>
      <c r="G21" s="1" t="s">
        <v>33</v>
      </c>
      <c r="H21" s="1" t="s">
        <v>26</v>
      </c>
      <c r="I21" s="2">
        <v>4</v>
      </c>
      <c r="J21" s="2">
        <v>39</v>
      </c>
      <c r="K21" s="2">
        <v>156</v>
      </c>
      <c r="L21" s="1" t="s">
        <v>16</v>
      </c>
      <c r="M21" s="2" t="s">
        <v>99</v>
      </c>
      <c r="N21" s="1" t="str">
        <f t="shared" si="0"/>
        <v>Multiple Orders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thickBot="1" x14ac:dyDescent="0.3">
      <c r="A22" s="1" t="s">
        <v>100</v>
      </c>
      <c r="B22" s="1" t="s">
        <v>101</v>
      </c>
      <c r="C22" s="1" t="s">
        <v>321</v>
      </c>
      <c r="D22" s="1" t="s">
        <v>334</v>
      </c>
      <c r="E22" s="1" t="s">
        <v>102</v>
      </c>
      <c r="F22" s="2">
        <v>9504793184</v>
      </c>
      <c r="G22" s="1" t="s">
        <v>46</v>
      </c>
      <c r="H22" s="1" t="s">
        <v>15</v>
      </c>
      <c r="I22" s="2">
        <v>9</v>
      </c>
      <c r="J22" s="2">
        <v>402</v>
      </c>
      <c r="K22" s="2">
        <v>3618</v>
      </c>
      <c r="L22" s="1" t="s">
        <v>35</v>
      </c>
      <c r="M22" s="3">
        <v>45356</v>
      </c>
      <c r="N22" s="1" t="str">
        <f t="shared" si="0"/>
        <v>Multiple Orders</v>
      </c>
      <c r="O22" s="18" t="s">
        <v>343</v>
      </c>
      <c r="P22" s="19"/>
      <c r="Q22" s="19"/>
      <c r="R22" s="19"/>
      <c r="S22" s="19"/>
      <c r="T22" s="19"/>
      <c r="U22" s="20"/>
      <c r="V22" s="1"/>
      <c r="W22" s="1"/>
      <c r="X22" s="1"/>
      <c r="Y22" s="1"/>
      <c r="Z22" s="1"/>
      <c r="AA22" s="1"/>
      <c r="AB22" s="1"/>
    </row>
    <row r="23" spans="1:28" ht="15.75" thickBot="1" x14ac:dyDescent="0.3">
      <c r="A23" s="1" t="s">
        <v>103</v>
      </c>
      <c r="B23" s="1" t="s">
        <v>91</v>
      </c>
      <c r="C23" s="1" t="s">
        <v>318</v>
      </c>
      <c r="D23" s="1" t="s">
        <v>332</v>
      </c>
      <c r="E23" s="1" t="s">
        <v>92</v>
      </c>
      <c r="F23" s="2">
        <v>7138409539</v>
      </c>
      <c r="G23" s="1" t="s">
        <v>25</v>
      </c>
      <c r="H23" s="1" t="s">
        <v>34</v>
      </c>
      <c r="I23" s="2">
        <v>7</v>
      </c>
      <c r="J23" s="2">
        <v>118</v>
      </c>
      <c r="K23" s="2">
        <v>826</v>
      </c>
      <c r="L23" s="1" t="s">
        <v>60</v>
      </c>
      <c r="M23" s="2" t="s">
        <v>85</v>
      </c>
      <c r="N23" s="1" t="str">
        <f t="shared" si="0"/>
        <v>Multiple Orders</v>
      </c>
      <c r="O23" s="18" t="s">
        <v>341</v>
      </c>
      <c r="P23" s="19"/>
      <c r="Q23" s="19"/>
      <c r="R23" s="19"/>
      <c r="S23" s="19"/>
      <c r="T23" s="19"/>
      <c r="U23" s="19"/>
      <c r="V23" s="20"/>
      <c r="W23" s="1"/>
      <c r="X23" s="1"/>
      <c r="Y23" s="1"/>
      <c r="Z23" s="1"/>
      <c r="AA23" s="1"/>
      <c r="AB23" s="1"/>
    </row>
    <row r="24" spans="1:28" ht="15.75" thickBot="1" x14ac:dyDescent="0.3">
      <c r="A24" s="1" t="s">
        <v>104</v>
      </c>
      <c r="B24" s="1" t="s">
        <v>105</v>
      </c>
      <c r="C24" s="1" t="s">
        <v>323</v>
      </c>
      <c r="D24" s="1" t="s">
        <v>328</v>
      </c>
      <c r="E24" s="1" t="s">
        <v>106</v>
      </c>
      <c r="F24" s="2">
        <v>8884873529</v>
      </c>
      <c r="G24" s="1" t="s">
        <v>33</v>
      </c>
      <c r="H24" s="1" t="s">
        <v>26</v>
      </c>
      <c r="I24" s="2">
        <v>9</v>
      </c>
      <c r="J24" s="2">
        <v>241</v>
      </c>
      <c r="K24" s="2">
        <v>2169</v>
      </c>
      <c r="L24" s="1" t="s">
        <v>60</v>
      </c>
      <c r="M24" s="3">
        <v>45330</v>
      </c>
      <c r="N24" s="1" t="str">
        <f t="shared" si="0"/>
        <v>Multiple Orders</v>
      </c>
      <c r="W24" s="1"/>
      <c r="X24" s="1"/>
      <c r="Y24" s="1"/>
      <c r="Z24" s="1"/>
      <c r="AA24" s="1"/>
      <c r="AB24" s="1"/>
    </row>
    <row r="25" spans="1:28" ht="15.75" thickBot="1" x14ac:dyDescent="0.3">
      <c r="A25" s="1" t="s">
        <v>107</v>
      </c>
      <c r="B25" s="1" t="s">
        <v>108</v>
      </c>
      <c r="C25" s="1" t="s">
        <v>321</v>
      </c>
      <c r="D25" s="1" t="s">
        <v>331</v>
      </c>
      <c r="E25" s="1" t="s">
        <v>109</v>
      </c>
      <c r="F25" s="2">
        <v>6090341465</v>
      </c>
      <c r="G25" s="1" t="s">
        <v>110</v>
      </c>
      <c r="H25" s="1" t="s">
        <v>34</v>
      </c>
      <c r="I25" s="2">
        <v>4</v>
      </c>
      <c r="J25" s="2">
        <v>311</v>
      </c>
      <c r="K25" s="2">
        <v>1244</v>
      </c>
      <c r="L25" s="1" t="s">
        <v>16</v>
      </c>
      <c r="M25" s="3">
        <v>45383</v>
      </c>
      <c r="N25" s="1" t="str">
        <f t="shared" si="0"/>
        <v>Single Order</v>
      </c>
      <c r="O25" s="18" t="s">
        <v>345</v>
      </c>
      <c r="P25" s="19"/>
      <c r="Q25" s="19"/>
      <c r="R25" s="19"/>
      <c r="S25" s="19"/>
      <c r="T25" s="19"/>
      <c r="U25" s="19"/>
      <c r="V25" s="19"/>
      <c r="W25" s="20"/>
      <c r="X25" s="1"/>
      <c r="Y25" s="1"/>
      <c r="Z25" s="1"/>
      <c r="AA25" s="1"/>
      <c r="AB25" s="1"/>
    </row>
    <row r="26" spans="1:28" ht="15.75" thickBot="1" x14ac:dyDescent="0.3">
      <c r="A26" s="1" t="s">
        <v>111</v>
      </c>
      <c r="B26" s="1" t="s">
        <v>112</v>
      </c>
      <c r="C26" s="1" t="s">
        <v>325</v>
      </c>
      <c r="D26" s="1" t="s">
        <v>329</v>
      </c>
      <c r="E26" s="1" t="s">
        <v>113</v>
      </c>
      <c r="F26" s="2">
        <v>6289482182</v>
      </c>
      <c r="G26" s="1" t="s">
        <v>20</v>
      </c>
      <c r="H26" s="1" t="s">
        <v>15</v>
      </c>
      <c r="I26" s="2">
        <v>6</v>
      </c>
      <c r="J26" s="2">
        <v>46</v>
      </c>
      <c r="K26" s="2">
        <v>276</v>
      </c>
      <c r="L26" s="1" t="s">
        <v>41</v>
      </c>
      <c r="M26" s="3">
        <v>45543</v>
      </c>
      <c r="N26" s="1" t="str">
        <f t="shared" si="0"/>
        <v>Multiple Orders</v>
      </c>
      <c r="O26" s="10" t="s">
        <v>346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thickBot="1" x14ac:dyDescent="0.3">
      <c r="A27" s="1" t="s">
        <v>114</v>
      </c>
      <c r="B27" s="1" t="s">
        <v>115</v>
      </c>
      <c r="C27" s="1" t="s">
        <v>324</v>
      </c>
      <c r="D27" s="1" t="s">
        <v>329</v>
      </c>
      <c r="E27" s="1" t="s">
        <v>116</v>
      </c>
      <c r="F27" s="2">
        <v>8315992115</v>
      </c>
      <c r="G27" s="1" t="s">
        <v>95</v>
      </c>
      <c r="H27" s="1" t="s">
        <v>15</v>
      </c>
      <c r="I27" s="2">
        <v>10</v>
      </c>
      <c r="J27" s="2">
        <v>305</v>
      </c>
      <c r="K27" s="2">
        <v>3050</v>
      </c>
      <c r="L27" s="1" t="s">
        <v>35</v>
      </c>
      <c r="M27" s="3">
        <v>45512</v>
      </c>
      <c r="N27" s="1" t="str">
        <f t="shared" si="0"/>
        <v>Single Order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thickBot="1" x14ac:dyDescent="0.3">
      <c r="A28" s="1" t="s">
        <v>117</v>
      </c>
      <c r="B28" s="1" t="s">
        <v>118</v>
      </c>
      <c r="C28" s="1" t="s">
        <v>320</v>
      </c>
      <c r="D28" s="1" t="s">
        <v>329</v>
      </c>
      <c r="E28" s="1" t="s">
        <v>119</v>
      </c>
      <c r="F28" s="2">
        <v>6405126228</v>
      </c>
      <c r="G28" s="1" t="s">
        <v>46</v>
      </c>
      <c r="H28" s="1" t="s">
        <v>15</v>
      </c>
      <c r="I28" s="2">
        <v>7</v>
      </c>
      <c r="J28" s="2">
        <v>191</v>
      </c>
      <c r="K28" s="2">
        <v>1337</v>
      </c>
      <c r="L28" s="1" t="s">
        <v>35</v>
      </c>
      <c r="M28" s="2" t="s">
        <v>120</v>
      </c>
      <c r="N28" s="1" t="str">
        <f t="shared" si="0"/>
        <v>Single Order</v>
      </c>
      <c r="O28" s="18" t="s">
        <v>347</v>
      </c>
      <c r="P28" s="19"/>
      <c r="Q28" s="19"/>
      <c r="R28" s="19"/>
      <c r="S28" s="19"/>
      <c r="T28" s="19"/>
      <c r="U28" s="19"/>
      <c r="V28" s="19"/>
      <c r="W28" s="20"/>
      <c r="X28" s="1"/>
      <c r="Y28" s="1"/>
      <c r="Z28" s="1"/>
      <c r="AA28" s="1"/>
      <c r="AB28" s="1"/>
    </row>
    <row r="29" spans="1:28" ht="15.75" thickBot="1" x14ac:dyDescent="0.3">
      <c r="A29" s="1" t="s">
        <v>121</v>
      </c>
      <c r="B29" s="1" t="s">
        <v>122</v>
      </c>
      <c r="C29" s="1" t="s">
        <v>325</v>
      </c>
      <c r="D29" s="1" t="s">
        <v>330</v>
      </c>
      <c r="E29" s="1" t="s">
        <v>123</v>
      </c>
      <c r="F29" s="2">
        <v>6260329455</v>
      </c>
      <c r="G29" s="1" t="s">
        <v>40</v>
      </c>
      <c r="H29" s="1" t="s">
        <v>34</v>
      </c>
      <c r="I29" s="2">
        <v>6</v>
      </c>
      <c r="J29" s="2">
        <v>419</v>
      </c>
      <c r="K29" s="2">
        <v>2514</v>
      </c>
      <c r="L29" s="1" t="s">
        <v>60</v>
      </c>
      <c r="M29" s="3">
        <v>45330</v>
      </c>
      <c r="N29" s="1" t="str">
        <f t="shared" si="0"/>
        <v>Multiple Orders</v>
      </c>
      <c r="O29" s="18" t="s">
        <v>349</v>
      </c>
      <c r="P29" s="19"/>
      <c r="Q29" s="19"/>
      <c r="R29" s="19"/>
      <c r="S29" s="19"/>
      <c r="T29" s="19"/>
      <c r="U29" s="20"/>
      <c r="V29" s="1"/>
      <c r="W29" s="1"/>
      <c r="X29" s="1"/>
      <c r="Y29" s="1"/>
      <c r="Z29" s="1"/>
      <c r="AA29" s="1"/>
      <c r="AB29" s="1"/>
    </row>
    <row r="30" spans="1:28" ht="15.75" customHeight="1" thickBot="1" x14ac:dyDescent="0.3">
      <c r="A30" s="1" t="s">
        <v>124</v>
      </c>
      <c r="B30" s="1" t="s">
        <v>125</v>
      </c>
      <c r="C30" s="1" t="s">
        <v>326</v>
      </c>
      <c r="D30" s="1" t="s">
        <v>335</v>
      </c>
      <c r="E30" s="1" t="s">
        <v>126</v>
      </c>
      <c r="F30" s="2">
        <v>7926780541</v>
      </c>
      <c r="G30" s="1" t="s">
        <v>95</v>
      </c>
      <c r="H30" s="1" t="s">
        <v>15</v>
      </c>
      <c r="I30" s="2">
        <v>7</v>
      </c>
      <c r="J30" s="2">
        <v>103</v>
      </c>
      <c r="K30" s="2">
        <v>721</v>
      </c>
      <c r="L30" s="1" t="s">
        <v>60</v>
      </c>
      <c r="M30" s="2" t="s">
        <v>127</v>
      </c>
      <c r="N30" s="1" t="str">
        <f t="shared" si="0"/>
        <v>Single Order</v>
      </c>
      <c r="O30" s="18" t="s">
        <v>350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  <c r="AB30" s="1"/>
    </row>
    <row r="31" spans="1:28" ht="15.75" thickBot="1" x14ac:dyDescent="0.3">
      <c r="A31" s="1" t="s">
        <v>128</v>
      </c>
      <c r="B31" s="1" t="s">
        <v>101</v>
      </c>
      <c r="C31" s="1" t="s">
        <v>321</v>
      </c>
      <c r="D31" s="1" t="s">
        <v>334</v>
      </c>
      <c r="E31" s="1" t="s">
        <v>102</v>
      </c>
      <c r="F31" s="2">
        <v>9470429115</v>
      </c>
      <c r="G31" s="1" t="s">
        <v>25</v>
      </c>
      <c r="H31" s="1" t="s">
        <v>15</v>
      </c>
      <c r="I31" s="2">
        <v>1</v>
      </c>
      <c r="J31" s="2">
        <v>343</v>
      </c>
      <c r="K31" s="2">
        <v>343</v>
      </c>
      <c r="L31" s="1" t="s">
        <v>16</v>
      </c>
      <c r="M31" s="2" t="s">
        <v>129</v>
      </c>
      <c r="N31" s="1" t="str">
        <f t="shared" si="0"/>
        <v>Multiple Orders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thickBot="1" x14ac:dyDescent="0.3">
      <c r="A32" s="1" t="s">
        <v>130</v>
      </c>
      <c r="B32" s="1" t="s">
        <v>49</v>
      </c>
      <c r="C32" s="1" t="s">
        <v>321</v>
      </c>
      <c r="D32" s="1" t="s">
        <v>329</v>
      </c>
      <c r="E32" s="1" t="s">
        <v>50</v>
      </c>
      <c r="F32" s="2">
        <v>6714300770</v>
      </c>
      <c r="G32" s="1" t="s">
        <v>40</v>
      </c>
      <c r="H32" s="1" t="s">
        <v>26</v>
      </c>
      <c r="I32" s="2">
        <v>8</v>
      </c>
      <c r="J32" s="2">
        <v>119</v>
      </c>
      <c r="K32" s="2">
        <v>952</v>
      </c>
      <c r="L32" s="1" t="s">
        <v>60</v>
      </c>
      <c r="M32" s="3">
        <v>45475</v>
      </c>
      <c r="N32" s="1" t="str">
        <f t="shared" si="0"/>
        <v>Multiple Orders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thickBot="1" x14ac:dyDescent="0.3">
      <c r="A33" s="1" t="s">
        <v>131</v>
      </c>
      <c r="B33" s="1" t="s">
        <v>132</v>
      </c>
      <c r="C33" s="1" t="s">
        <v>320</v>
      </c>
      <c r="D33" s="1" t="s">
        <v>327</v>
      </c>
      <c r="E33" s="1" t="s">
        <v>133</v>
      </c>
      <c r="F33" s="2">
        <v>7676848676</v>
      </c>
      <c r="G33" s="1" t="s">
        <v>14</v>
      </c>
      <c r="H33" s="1" t="s">
        <v>26</v>
      </c>
      <c r="I33" s="1">
        <v>5</v>
      </c>
      <c r="J33" s="2">
        <v>226</v>
      </c>
      <c r="K33" s="4" t="e">
        <v>#VALUE!</v>
      </c>
      <c r="L33" s="1" t="s">
        <v>35</v>
      </c>
      <c r="M33" s="2" t="s">
        <v>89</v>
      </c>
      <c r="N33" s="1" t="str">
        <f t="shared" si="0"/>
        <v>Single Order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thickBot="1" x14ac:dyDescent="0.3">
      <c r="A34" s="1" t="s">
        <v>134</v>
      </c>
      <c r="B34" s="1" t="s">
        <v>135</v>
      </c>
      <c r="C34" s="1" t="s">
        <v>319</v>
      </c>
      <c r="D34" s="1" t="s">
        <v>329</v>
      </c>
      <c r="E34" s="1" t="s">
        <v>136</v>
      </c>
      <c r="F34" s="2">
        <v>7274350418</v>
      </c>
      <c r="G34" s="1" t="s">
        <v>55</v>
      </c>
      <c r="H34" s="1" t="s">
        <v>15</v>
      </c>
      <c r="I34" s="2">
        <v>10</v>
      </c>
      <c r="J34" s="2">
        <v>386</v>
      </c>
      <c r="K34" s="2">
        <v>3860</v>
      </c>
      <c r="L34" s="1" t="s">
        <v>41</v>
      </c>
      <c r="M34" s="3">
        <v>45537</v>
      </c>
      <c r="N34" s="1" t="str">
        <f t="shared" si="0"/>
        <v>Single Order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thickBot="1" x14ac:dyDescent="0.3">
      <c r="A35" s="1" t="s">
        <v>137</v>
      </c>
      <c r="B35" s="1" t="s">
        <v>138</v>
      </c>
      <c r="C35" s="1" t="s">
        <v>325</v>
      </c>
      <c r="D35" s="1" t="s">
        <v>327</v>
      </c>
      <c r="E35" s="1" t="s">
        <v>139</v>
      </c>
      <c r="F35" s="2">
        <v>8509023674</v>
      </c>
      <c r="G35" s="1" t="s">
        <v>68</v>
      </c>
      <c r="H35" s="1" t="s">
        <v>15</v>
      </c>
      <c r="I35" s="2">
        <v>9</v>
      </c>
      <c r="J35" s="2">
        <v>480</v>
      </c>
      <c r="K35" s="2">
        <v>4320</v>
      </c>
      <c r="L35" s="1" t="s">
        <v>16</v>
      </c>
      <c r="M35" s="3">
        <v>45541</v>
      </c>
      <c r="N35" s="1" t="str">
        <f t="shared" si="0"/>
        <v>Single Order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thickBot="1" x14ac:dyDescent="0.3">
      <c r="A36" s="1" t="s">
        <v>140</v>
      </c>
      <c r="B36" s="1" t="s">
        <v>38</v>
      </c>
      <c r="C36" s="1" t="s">
        <v>318</v>
      </c>
      <c r="D36" s="1" t="s">
        <v>330</v>
      </c>
      <c r="E36" s="1" t="s">
        <v>39</v>
      </c>
      <c r="F36" s="2">
        <v>9656488400</v>
      </c>
      <c r="G36" s="1" t="s">
        <v>95</v>
      </c>
      <c r="H36" s="1" t="s">
        <v>15</v>
      </c>
      <c r="I36" s="2">
        <v>2</v>
      </c>
      <c r="J36" s="2">
        <v>314</v>
      </c>
      <c r="K36" s="2">
        <v>628</v>
      </c>
      <c r="L36" s="1" t="s">
        <v>60</v>
      </c>
      <c r="M36" s="2" t="s">
        <v>141</v>
      </c>
      <c r="N36" s="1" t="str">
        <f t="shared" si="0"/>
        <v>Multiple Orders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7" thickBot="1" x14ac:dyDescent="0.3">
      <c r="A37" s="1" t="s">
        <v>142</v>
      </c>
      <c r="B37" s="1" t="s">
        <v>31</v>
      </c>
      <c r="C37" s="1" t="s">
        <v>320</v>
      </c>
      <c r="D37" s="1" t="s">
        <v>330</v>
      </c>
      <c r="E37" s="1" t="s">
        <v>32</v>
      </c>
      <c r="F37" s="2">
        <v>9823754905</v>
      </c>
      <c r="G37" s="1" t="s">
        <v>110</v>
      </c>
      <c r="H37" s="1" t="s">
        <v>15</v>
      </c>
      <c r="I37" s="2">
        <v>10</v>
      </c>
      <c r="J37" s="2">
        <v>314</v>
      </c>
      <c r="K37" s="2">
        <v>3140</v>
      </c>
      <c r="L37" s="1" t="s">
        <v>16</v>
      </c>
      <c r="M37" s="2" t="s">
        <v>143</v>
      </c>
      <c r="N37" s="1" t="str">
        <f t="shared" si="0"/>
        <v>Multiple Orders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thickBot="1" x14ac:dyDescent="0.3">
      <c r="A38" s="1" t="s">
        <v>144</v>
      </c>
      <c r="B38" s="1" t="s">
        <v>145</v>
      </c>
      <c r="C38" s="1" t="s">
        <v>320</v>
      </c>
      <c r="D38" s="1" t="s">
        <v>336</v>
      </c>
      <c r="E38" s="1" t="s">
        <v>146</v>
      </c>
      <c r="F38" s="2">
        <v>8427631155</v>
      </c>
      <c r="G38" s="1" t="s">
        <v>25</v>
      </c>
      <c r="H38" s="1" t="s">
        <v>26</v>
      </c>
      <c r="I38" s="1">
        <v>5</v>
      </c>
      <c r="J38" s="2">
        <v>114</v>
      </c>
      <c r="K38" s="4" t="e">
        <v>#VALUE!</v>
      </c>
      <c r="L38" s="1" t="s">
        <v>41</v>
      </c>
      <c r="M38" s="2" t="s">
        <v>147</v>
      </c>
      <c r="N38" s="1" t="str">
        <f t="shared" si="0"/>
        <v>Multiple Orders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thickBot="1" x14ac:dyDescent="0.3">
      <c r="A39" s="1" t="s">
        <v>148</v>
      </c>
      <c r="B39" s="1" t="s">
        <v>149</v>
      </c>
      <c r="C39" s="1" t="s">
        <v>326</v>
      </c>
      <c r="D39" s="1" t="s">
        <v>333</v>
      </c>
      <c r="E39" s="1" t="s">
        <v>150</v>
      </c>
      <c r="F39" s="2">
        <v>7699887270</v>
      </c>
      <c r="G39" s="1" t="s">
        <v>95</v>
      </c>
      <c r="H39" s="1" t="s">
        <v>15</v>
      </c>
      <c r="I39" s="1">
        <v>5</v>
      </c>
      <c r="J39" s="2">
        <v>244</v>
      </c>
      <c r="K39" s="4" t="e">
        <v>#VALUE!</v>
      </c>
      <c r="L39" s="1" t="s">
        <v>16</v>
      </c>
      <c r="M39" s="2" t="s">
        <v>151</v>
      </c>
      <c r="N39" s="1" t="str">
        <f t="shared" si="0"/>
        <v>Multiple Orders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thickBot="1" x14ac:dyDescent="0.3">
      <c r="A40" s="1" t="s">
        <v>152</v>
      </c>
      <c r="B40" s="1" t="s">
        <v>153</v>
      </c>
      <c r="C40" s="1" t="s">
        <v>325</v>
      </c>
      <c r="D40" s="1" t="s">
        <v>334</v>
      </c>
      <c r="E40" s="1" t="s">
        <v>154</v>
      </c>
      <c r="F40" s="2">
        <v>8667858669</v>
      </c>
      <c r="G40" s="1" t="s">
        <v>110</v>
      </c>
      <c r="H40" s="1" t="s">
        <v>15</v>
      </c>
      <c r="I40" s="2">
        <v>2</v>
      </c>
      <c r="J40" s="2">
        <v>285</v>
      </c>
      <c r="K40" s="2">
        <v>570</v>
      </c>
      <c r="L40" s="1" t="s">
        <v>41</v>
      </c>
      <c r="M40" s="2" t="s">
        <v>21</v>
      </c>
      <c r="N40" s="1" t="str">
        <f t="shared" si="0"/>
        <v>Multiple Orders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thickBot="1" x14ac:dyDescent="0.3">
      <c r="A41" s="1" t="s">
        <v>155</v>
      </c>
      <c r="B41" s="1" t="s">
        <v>53</v>
      </c>
      <c r="C41" s="1" t="s">
        <v>319</v>
      </c>
      <c r="D41" s="1" t="s">
        <v>331</v>
      </c>
      <c r="E41" s="1" t="s">
        <v>54</v>
      </c>
      <c r="F41" s="2">
        <v>9783282817</v>
      </c>
      <c r="G41" s="1" t="s">
        <v>46</v>
      </c>
      <c r="H41" s="1" t="s">
        <v>15</v>
      </c>
      <c r="I41" s="2">
        <v>4</v>
      </c>
      <c r="J41" s="2">
        <v>199</v>
      </c>
      <c r="K41" s="2">
        <v>796</v>
      </c>
      <c r="L41" s="1" t="s">
        <v>35</v>
      </c>
      <c r="M41" s="3">
        <v>45418</v>
      </c>
      <c r="N41" s="1" t="str">
        <f t="shared" si="0"/>
        <v>Multiple Orders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thickBot="1" x14ac:dyDescent="0.3">
      <c r="A42" s="1" t="s">
        <v>156</v>
      </c>
      <c r="B42" s="1" t="s">
        <v>83</v>
      </c>
      <c r="C42" s="1" t="s">
        <v>318</v>
      </c>
      <c r="D42" s="1" t="s">
        <v>333</v>
      </c>
      <c r="E42" s="1" t="s">
        <v>84</v>
      </c>
      <c r="F42" s="2">
        <v>8627135980</v>
      </c>
      <c r="G42" s="1" t="s">
        <v>25</v>
      </c>
      <c r="H42" s="1" t="s">
        <v>15</v>
      </c>
      <c r="I42" s="2">
        <v>9</v>
      </c>
      <c r="J42" s="2">
        <v>163</v>
      </c>
      <c r="K42" s="2">
        <v>1467</v>
      </c>
      <c r="L42" s="1" t="s">
        <v>60</v>
      </c>
      <c r="M42" s="3">
        <v>45600</v>
      </c>
      <c r="N42" s="1" t="str">
        <f t="shared" si="0"/>
        <v>Multiple Orders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thickBot="1" x14ac:dyDescent="0.3">
      <c r="A43" s="1" t="s">
        <v>157</v>
      </c>
      <c r="B43" s="1" t="s">
        <v>158</v>
      </c>
      <c r="C43" s="1" t="s">
        <v>323</v>
      </c>
      <c r="D43" s="1" t="s">
        <v>330</v>
      </c>
      <c r="E43" s="1" t="s">
        <v>159</v>
      </c>
      <c r="F43" s="2">
        <v>9821286999</v>
      </c>
      <c r="G43" s="1" t="s">
        <v>46</v>
      </c>
      <c r="H43" s="1" t="s">
        <v>15</v>
      </c>
      <c r="I43" s="2">
        <v>9</v>
      </c>
      <c r="J43" s="2">
        <v>89</v>
      </c>
      <c r="K43" s="2">
        <v>801</v>
      </c>
      <c r="L43" s="1" t="s">
        <v>60</v>
      </c>
      <c r="M43" s="3">
        <v>45422</v>
      </c>
      <c r="N43" s="1" t="str">
        <f t="shared" si="0"/>
        <v>Single Order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thickBot="1" x14ac:dyDescent="0.3">
      <c r="A44" s="1" t="s">
        <v>160</v>
      </c>
      <c r="B44" s="1" t="s">
        <v>75</v>
      </c>
      <c r="C44" s="1" t="s">
        <v>322</v>
      </c>
      <c r="D44" s="1" t="s">
        <v>329</v>
      </c>
      <c r="E44" s="1" t="s">
        <v>76</v>
      </c>
      <c r="F44" s="2">
        <v>8952777682</v>
      </c>
      <c r="G44" s="1" t="s">
        <v>14</v>
      </c>
      <c r="H44" s="1" t="s">
        <v>34</v>
      </c>
      <c r="I44" s="2">
        <v>8</v>
      </c>
      <c r="J44" s="2">
        <v>138</v>
      </c>
      <c r="K44" s="2">
        <v>1104</v>
      </c>
      <c r="L44" s="1" t="s">
        <v>35</v>
      </c>
      <c r="M44" s="3">
        <v>45294</v>
      </c>
      <c r="N44" s="1" t="str">
        <f t="shared" si="0"/>
        <v>Multiple Orders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thickBot="1" x14ac:dyDescent="0.3">
      <c r="A45" s="1" t="s">
        <v>161</v>
      </c>
      <c r="B45" s="1" t="s">
        <v>162</v>
      </c>
      <c r="C45" s="1" t="s">
        <v>323</v>
      </c>
      <c r="D45" s="1" t="s">
        <v>327</v>
      </c>
      <c r="E45" s="1" t="s">
        <v>163</v>
      </c>
      <c r="F45" s="2">
        <v>6015228622</v>
      </c>
      <c r="G45" s="1" t="s">
        <v>33</v>
      </c>
      <c r="H45" s="1" t="s">
        <v>15</v>
      </c>
      <c r="I45" s="1">
        <v>5</v>
      </c>
      <c r="J45" s="2">
        <v>92</v>
      </c>
      <c r="K45" s="4" t="e">
        <v>#VALUE!</v>
      </c>
      <c r="L45" s="1" t="s">
        <v>35</v>
      </c>
      <c r="M45" s="2" t="s">
        <v>164</v>
      </c>
      <c r="N45" s="1" t="str">
        <f t="shared" si="0"/>
        <v>Multiple Orders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thickBot="1" x14ac:dyDescent="0.3">
      <c r="A46" s="1" t="s">
        <v>165</v>
      </c>
      <c r="B46" s="1" t="s">
        <v>166</v>
      </c>
      <c r="C46" s="1" t="s">
        <v>318</v>
      </c>
      <c r="D46" s="1" t="s">
        <v>327</v>
      </c>
      <c r="E46" s="1" t="s">
        <v>167</v>
      </c>
      <c r="F46" s="2">
        <v>6480494664</v>
      </c>
      <c r="G46" s="1" t="s">
        <v>46</v>
      </c>
      <c r="H46" s="1" t="s">
        <v>15</v>
      </c>
      <c r="I46" s="2">
        <v>3</v>
      </c>
      <c r="J46" s="2">
        <v>289</v>
      </c>
      <c r="K46" s="2">
        <v>867</v>
      </c>
      <c r="L46" s="1" t="s">
        <v>41</v>
      </c>
      <c r="M46" s="2" t="s">
        <v>168</v>
      </c>
      <c r="N46" s="1" t="str">
        <f t="shared" si="0"/>
        <v>Multiple Orders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7" thickBot="1" x14ac:dyDescent="0.3">
      <c r="A47" s="1" t="s">
        <v>169</v>
      </c>
      <c r="B47" s="1" t="s">
        <v>170</v>
      </c>
      <c r="C47" s="1" t="s">
        <v>317</v>
      </c>
      <c r="D47" s="1" t="s">
        <v>335</v>
      </c>
      <c r="E47" s="1" t="s">
        <v>171</v>
      </c>
      <c r="F47" s="2">
        <v>6636057975</v>
      </c>
      <c r="G47" s="1" t="s">
        <v>40</v>
      </c>
      <c r="H47" s="1" t="s">
        <v>15</v>
      </c>
      <c r="I47" s="2">
        <v>1</v>
      </c>
      <c r="J47" s="2">
        <v>167</v>
      </c>
      <c r="K47" s="2">
        <v>167</v>
      </c>
      <c r="L47" s="1" t="s">
        <v>16</v>
      </c>
      <c r="M47" s="2" t="s">
        <v>172</v>
      </c>
      <c r="N47" s="1" t="str">
        <f t="shared" si="0"/>
        <v>Multiple Orders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thickBot="1" x14ac:dyDescent="0.3">
      <c r="A48" s="1" t="s">
        <v>173</v>
      </c>
      <c r="B48" s="1" t="s">
        <v>75</v>
      </c>
      <c r="C48" s="1" t="s">
        <v>322</v>
      </c>
      <c r="D48" s="1" t="s">
        <v>329</v>
      </c>
      <c r="E48" s="1" t="s">
        <v>76</v>
      </c>
      <c r="F48" s="2">
        <v>8929454134</v>
      </c>
      <c r="G48" s="1" t="s">
        <v>55</v>
      </c>
      <c r="H48" s="1" t="s">
        <v>34</v>
      </c>
      <c r="I48" s="2">
        <v>2</v>
      </c>
      <c r="J48" s="2">
        <v>191</v>
      </c>
      <c r="K48" s="2">
        <v>382</v>
      </c>
      <c r="L48" s="1" t="s">
        <v>35</v>
      </c>
      <c r="M48" s="2" t="s">
        <v>174</v>
      </c>
      <c r="N48" s="1" t="str">
        <f t="shared" si="0"/>
        <v>Multiple Orders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thickBot="1" x14ac:dyDescent="0.3">
      <c r="A49" s="1" t="s">
        <v>175</v>
      </c>
      <c r="B49" s="1" t="s">
        <v>58</v>
      </c>
      <c r="C49" s="1" t="s">
        <v>317</v>
      </c>
      <c r="D49" s="1" t="s">
        <v>332</v>
      </c>
      <c r="E49" s="1" t="s">
        <v>59</v>
      </c>
      <c r="F49" s="2">
        <v>9976125337</v>
      </c>
      <c r="G49" s="1" t="s">
        <v>55</v>
      </c>
      <c r="H49" s="1" t="s">
        <v>15</v>
      </c>
      <c r="I49" s="2">
        <v>3</v>
      </c>
      <c r="J49" s="2">
        <v>461</v>
      </c>
      <c r="K49" s="2">
        <v>1383</v>
      </c>
      <c r="L49" s="1" t="s">
        <v>60</v>
      </c>
      <c r="M49" s="3">
        <v>45474</v>
      </c>
      <c r="N49" s="1" t="str">
        <f t="shared" si="0"/>
        <v>Multiple Orders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thickBot="1" x14ac:dyDescent="0.3">
      <c r="A50" s="1" t="s">
        <v>176</v>
      </c>
      <c r="B50" s="1" t="s">
        <v>177</v>
      </c>
      <c r="C50" s="1" t="s">
        <v>322</v>
      </c>
      <c r="D50" s="1" t="s">
        <v>328</v>
      </c>
      <c r="E50" s="1" t="s">
        <v>178</v>
      </c>
      <c r="F50" s="2">
        <v>9445573666</v>
      </c>
      <c r="G50" s="1" t="s">
        <v>55</v>
      </c>
      <c r="H50" s="1" t="s">
        <v>26</v>
      </c>
      <c r="I50" s="2">
        <v>3</v>
      </c>
      <c r="J50" s="2">
        <v>413</v>
      </c>
      <c r="K50" s="2">
        <v>1239</v>
      </c>
      <c r="L50" s="1" t="s">
        <v>35</v>
      </c>
      <c r="M50" s="3">
        <v>45630</v>
      </c>
      <c r="N50" s="1" t="str">
        <f t="shared" si="0"/>
        <v>Multiple Orders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thickBot="1" x14ac:dyDescent="0.3">
      <c r="A51" s="1" t="s">
        <v>179</v>
      </c>
      <c r="B51" s="1" t="s">
        <v>153</v>
      </c>
      <c r="C51" s="1" t="s">
        <v>325</v>
      </c>
      <c r="D51" s="1" t="s">
        <v>334</v>
      </c>
      <c r="E51" s="1" t="s">
        <v>154</v>
      </c>
      <c r="F51" s="2">
        <v>6955345537</v>
      </c>
      <c r="G51" s="1" t="s">
        <v>55</v>
      </c>
      <c r="H51" s="1" t="s">
        <v>26</v>
      </c>
      <c r="I51" s="2">
        <v>6</v>
      </c>
      <c r="J51" s="2">
        <v>166</v>
      </c>
      <c r="K51" s="2">
        <v>996</v>
      </c>
      <c r="L51" s="1" t="s">
        <v>16</v>
      </c>
      <c r="M51" s="3">
        <v>45390</v>
      </c>
      <c r="N51" s="1" t="str">
        <f t="shared" si="0"/>
        <v>Multiple Orders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thickBot="1" x14ac:dyDescent="0.3">
      <c r="A52" s="1" t="s">
        <v>180</v>
      </c>
      <c r="B52" s="1" t="s">
        <v>181</v>
      </c>
      <c r="C52" s="1" t="s">
        <v>326</v>
      </c>
      <c r="D52" s="1" t="s">
        <v>328</v>
      </c>
      <c r="E52" s="1" t="s">
        <v>182</v>
      </c>
      <c r="F52" s="2">
        <v>7409874348</v>
      </c>
      <c r="G52" s="1" t="s">
        <v>14</v>
      </c>
      <c r="H52" s="1" t="s">
        <v>15</v>
      </c>
      <c r="I52" s="1">
        <v>5</v>
      </c>
      <c r="J52" s="2">
        <v>189</v>
      </c>
      <c r="K52" s="4" t="e">
        <v>#VALUE!</v>
      </c>
      <c r="L52" s="1" t="s">
        <v>35</v>
      </c>
      <c r="M52" s="2" t="s">
        <v>93</v>
      </c>
      <c r="N52" s="1" t="str">
        <f t="shared" si="0"/>
        <v>Multiple Orders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thickBot="1" x14ac:dyDescent="0.3">
      <c r="A53" s="1" t="s">
        <v>183</v>
      </c>
      <c r="B53" s="1" t="s">
        <v>184</v>
      </c>
      <c r="C53" s="1" t="s">
        <v>318</v>
      </c>
      <c r="D53" s="1" t="s">
        <v>331</v>
      </c>
      <c r="E53" s="1" t="s">
        <v>185</v>
      </c>
      <c r="F53" s="2">
        <v>6118543408</v>
      </c>
      <c r="G53" s="1" t="s">
        <v>46</v>
      </c>
      <c r="H53" s="1" t="s">
        <v>15</v>
      </c>
      <c r="I53" s="1">
        <v>5</v>
      </c>
      <c r="J53" s="2">
        <v>101</v>
      </c>
      <c r="K53" s="4" t="e">
        <v>#VALUE!</v>
      </c>
      <c r="L53" s="1" t="s">
        <v>16</v>
      </c>
      <c r="M53" s="3">
        <v>45574</v>
      </c>
      <c r="N53" s="1" t="str">
        <f t="shared" si="0"/>
        <v>Single Order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thickBot="1" x14ac:dyDescent="0.3">
      <c r="A54" s="1" t="s">
        <v>186</v>
      </c>
      <c r="B54" s="1" t="s">
        <v>187</v>
      </c>
      <c r="C54" s="1" t="s">
        <v>321</v>
      </c>
      <c r="D54" s="1" t="s">
        <v>336</v>
      </c>
      <c r="E54" s="1" t="s">
        <v>188</v>
      </c>
      <c r="F54" s="2">
        <v>7866437132</v>
      </c>
      <c r="G54" s="1" t="s">
        <v>33</v>
      </c>
      <c r="H54" s="1" t="s">
        <v>34</v>
      </c>
      <c r="I54" s="2">
        <v>6</v>
      </c>
      <c r="J54" s="2">
        <v>233</v>
      </c>
      <c r="K54" s="2">
        <v>1398</v>
      </c>
      <c r="L54" s="1" t="s">
        <v>16</v>
      </c>
      <c r="M54" s="2" t="s">
        <v>189</v>
      </c>
      <c r="N54" s="1" t="str">
        <f t="shared" si="0"/>
        <v>Multiple Orders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thickBot="1" x14ac:dyDescent="0.3">
      <c r="A55" s="1" t="s">
        <v>190</v>
      </c>
      <c r="B55" s="1" t="s">
        <v>145</v>
      </c>
      <c r="C55" s="1" t="s">
        <v>320</v>
      </c>
      <c r="D55" s="1" t="s">
        <v>336</v>
      </c>
      <c r="E55" s="1" t="s">
        <v>146</v>
      </c>
      <c r="F55" s="2">
        <v>6816382125</v>
      </c>
      <c r="G55" s="1" t="s">
        <v>14</v>
      </c>
      <c r="H55" s="1" t="s">
        <v>15</v>
      </c>
      <c r="I55" s="2">
        <v>7</v>
      </c>
      <c r="J55" s="2">
        <v>10</v>
      </c>
      <c r="K55" s="2">
        <v>70</v>
      </c>
      <c r="L55" s="1" t="s">
        <v>60</v>
      </c>
      <c r="M55" s="2" t="s">
        <v>191</v>
      </c>
      <c r="N55" s="1" t="str">
        <f t="shared" si="0"/>
        <v>Multiple Orders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thickBot="1" x14ac:dyDescent="0.3">
      <c r="A56" s="1" t="s">
        <v>192</v>
      </c>
      <c r="B56" s="1" t="s">
        <v>177</v>
      </c>
      <c r="C56" s="1" t="s">
        <v>322</v>
      </c>
      <c r="D56" s="1" t="s">
        <v>328</v>
      </c>
      <c r="E56" s="1" t="s">
        <v>178</v>
      </c>
      <c r="F56" s="2">
        <v>6300535210</v>
      </c>
      <c r="G56" s="1" t="s">
        <v>33</v>
      </c>
      <c r="H56" s="1" t="s">
        <v>34</v>
      </c>
      <c r="I56" s="2">
        <v>6</v>
      </c>
      <c r="J56" s="2">
        <v>349</v>
      </c>
      <c r="K56" s="2">
        <v>2094</v>
      </c>
      <c r="L56" s="1" t="s">
        <v>41</v>
      </c>
      <c r="M56" s="2" t="s">
        <v>193</v>
      </c>
      <c r="N56" s="1" t="str">
        <f t="shared" si="0"/>
        <v>Multiple Orders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thickBot="1" x14ac:dyDescent="0.3">
      <c r="A57" s="1" t="s">
        <v>194</v>
      </c>
      <c r="B57" s="1" t="s">
        <v>83</v>
      </c>
      <c r="C57" s="1" t="s">
        <v>318</v>
      </c>
      <c r="D57" s="1" t="s">
        <v>333</v>
      </c>
      <c r="E57" s="1" t="s">
        <v>84</v>
      </c>
      <c r="F57" s="2">
        <v>8864283209</v>
      </c>
      <c r="G57" s="1" t="s">
        <v>40</v>
      </c>
      <c r="H57" s="1" t="s">
        <v>26</v>
      </c>
      <c r="I57" s="2">
        <v>7</v>
      </c>
      <c r="J57" s="2">
        <v>366</v>
      </c>
      <c r="K57" s="2">
        <v>2562</v>
      </c>
      <c r="L57" s="1" t="s">
        <v>60</v>
      </c>
      <c r="M57" s="2" t="s">
        <v>195</v>
      </c>
      <c r="N57" s="1" t="str">
        <f t="shared" si="0"/>
        <v>Multiple Orders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thickBot="1" x14ac:dyDescent="0.3">
      <c r="A58" s="1" t="s">
        <v>196</v>
      </c>
      <c r="B58" s="1" t="s">
        <v>181</v>
      </c>
      <c r="C58" s="1" t="s">
        <v>326</v>
      </c>
      <c r="D58" s="1" t="s">
        <v>328</v>
      </c>
      <c r="E58" s="1" t="s">
        <v>182</v>
      </c>
      <c r="F58" s="2">
        <v>8855850145</v>
      </c>
      <c r="G58" s="1" t="s">
        <v>40</v>
      </c>
      <c r="H58" s="1" t="s">
        <v>34</v>
      </c>
      <c r="I58" s="2">
        <v>3</v>
      </c>
      <c r="J58" s="2">
        <v>325</v>
      </c>
      <c r="K58" s="2">
        <v>975</v>
      </c>
      <c r="L58" s="1" t="s">
        <v>35</v>
      </c>
      <c r="M58" s="3">
        <v>45575</v>
      </c>
      <c r="N58" s="1" t="str">
        <f t="shared" si="0"/>
        <v>Multiple Orders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thickBot="1" x14ac:dyDescent="0.3">
      <c r="A59" s="1" t="s">
        <v>197</v>
      </c>
      <c r="B59" s="1" t="s">
        <v>166</v>
      </c>
      <c r="C59" s="1" t="s">
        <v>318</v>
      </c>
      <c r="D59" s="1" t="s">
        <v>327</v>
      </c>
      <c r="E59" s="1" t="s">
        <v>167</v>
      </c>
      <c r="F59" s="2">
        <v>7305132983</v>
      </c>
      <c r="G59" s="1" t="s">
        <v>14</v>
      </c>
      <c r="H59" s="1" t="s">
        <v>15</v>
      </c>
      <c r="I59" s="2">
        <v>7</v>
      </c>
      <c r="J59" s="2">
        <v>412</v>
      </c>
      <c r="K59" s="2">
        <v>2884</v>
      </c>
      <c r="L59" s="1" t="s">
        <v>41</v>
      </c>
      <c r="M59" s="2" t="s">
        <v>198</v>
      </c>
      <c r="N59" s="1" t="str">
        <f t="shared" si="0"/>
        <v>Multiple Orders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thickBot="1" x14ac:dyDescent="0.3">
      <c r="A60" s="1" t="s">
        <v>199</v>
      </c>
      <c r="B60" s="1" t="s">
        <v>200</v>
      </c>
      <c r="C60" s="1" t="s">
        <v>324</v>
      </c>
      <c r="D60" s="1" t="s">
        <v>334</v>
      </c>
      <c r="E60" s="1" t="s">
        <v>201</v>
      </c>
      <c r="F60" s="2">
        <v>7899061865</v>
      </c>
      <c r="G60" s="1" t="s">
        <v>55</v>
      </c>
      <c r="H60" s="1" t="s">
        <v>34</v>
      </c>
      <c r="I60" s="2">
        <v>8</v>
      </c>
      <c r="J60" s="2">
        <v>416</v>
      </c>
      <c r="K60" s="2">
        <v>3328</v>
      </c>
      <c r="L60" s="1" t="s">
        <v>16</v>
      </c>
      <c r="M60" s="3">
        <v>45632</v>
      </c>
      <c r="N60" s="1" t="str">
        <f t="shared" si="0"/>
        <v>Multiple Orders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thickBot="1" x14ac:dyDescent="0.3">
      <c r="A61" s="1" t="s">
        <v>202</v>
      </c>
      <c r="B61" s="1" t="s">
        <v>203</v>
      </c>
      <c r="C61" s="1" t="s">
        <v>323</v>
      </c>
      <c r="D61" s="1" t="s">
        <v>335</v>
      </c>
      <c r="E61" s="1" t="s">
        <v>204</v>
      </c>
      <c r="F61" s="2">
        <v>8851230518</v>
      </c>
      <c r="G61" s="1" t="s">
        <v>110</v>
      </c>
      <c r="H61" s="1" t="s">
        <v>26</v>
      </c>
      <c r="I61" s="2">
        <v>2</v>
      </c>
      <c r="J61" s="2">
        <v>429</v>
      </c>
      <c r="K61" s="2">
        <v>858</v>
      </c>
      <c r="L61" s="1" t="s">
        <v>41</v>
      </c>
      <c r="M61" s="2" t="s">
        <v>205</v>
      </c>
      <c r="N61" s="1" t="str">
        <f t="shared" si="0"/>
        <v>Single Order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thickBot="1" x14ac:dyDescent="0.3">
      <c r="A62" s="1" t="s">
        <v>206</v>
      </c>
      <c r="B62" s="1" t="s">
        <v>207</v>
      </c>
      <c r="C62" s="1" t="s">
        <v>326</v>
      </c>
      <c r="D62" s="1" t="s">
        <v>329</v>
      </c>
      <c r="E62" s="1" t="s">
        <v>208</v>
      </c>
      <c r="F62" s="2">
        <v>6632880459</v>
      </c>
      <c r="G62" s="1" t="s">
        <v>20</v>
      </c>
      <c r="H62" s="1" t="s">
        <v>15</v>
      </c>
      <c r="I62" s="2">
        <v>1</v>
      </c>
      <c r="J62" s="2">
        <v>135</v>
      </c>
      <c r="K62" s="2">
        <v>135</v>
      </c>
      <c r="L62" s="1" t="s">
        <v>16</v>
      </c>
      <c r="M62" s="2" t="s">
        <v>209</v>
      </c>
      <c r="N62" s="1" t="str">
        <f t="shared" si="0"/>
        <v>Multiple Orders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thickBot="1" x14ac:dyDescent="0.3">
      <c r="A63" s="1" t="s">
        <v>210</v>
      </c>
      <c r="B63" s="1" t="s">
        <v>211</v>
      </c>
      <c r="C63" s="1" t="s">
        <v>324</v>
      </c>
      <c r="D63" s="1" t="s">
        <v>328</v>
      </c>
      <c r="E63" s="1" t="s">
        <v>212</v>
      </c>
      <c r="F63" s="2">
        <v>9805929053</v>
      </c>
      <c r="G63" s="1" t="s">
        <v>110</v>
      </c>
      <c r="H63" s="1" t="s">
        <v>15</v>
      </c>
      <c r="I63" s="2">
        <v>7</v>
      </c>
      <c r="J63" s="2">
        <v>263</v>
      </c>
      <c r="K63" s="2">
        <v>1841</v>
      </c>
      <c r="L63" s="1" t="s">
        <v>60</v>
      </c>
      <c r="M63" s="3">
        <v>45481</v>
      </c>
      <c r="N63" s="1" t="str">
        <f t="shared" si="0"/>
        <v>Multiple Orders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thickBot="1" x14ac:dyDescent="0.3">
      <c r="A64" s="1" t="s">
        <v>213</v>
      </c>
      <c r="B64" s="1" t="s">
        <v>122</v>
      </c>
      <c r="C64" s="1" t="s">
        <v>325</v>
      </c>
      <c r="D64" s="1" t="s">
        <v>330</v>
      </c>
      <c r="E64" s="1" t="s">
        <v>123</v>
      </c>
      <c r="F64" s="2">
        <v>9343290201</v>
      </c>
      <c r="G64" s="1" t="s">
        <v>40</v>
      </c>
      <c r="H64" s="1" t="s">
        <v>15</v>
      </c>
      <c r="I64" s="2">
        <v>3</v>
      </c>
      <c r="J64" s="2">
        <v>421</v>
      </c>
      <c r="K64" s="2">
        <v>1263</v>
      </c>
      <c r="L64" s="1" t="s">
        <v>35</v>
      </c>
      <c r="M64" s="2" t="s">
        <v>214</v>
      </c>
      <c r="N64" s="1" t="str">
        <f t="shared" si="0"/>
        <v>Multiple Orders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thickBot="1" x14ac:dyDescent="0.3">
      <c r="A65" s="1" t="s">
        <v>215</v>
      </c>
      <c r="B65" s="1" t="s">
        <v>216</v>
      </c>
      <c r="C65" s="1" t="s">
        <v>325</v>
      </c>
      <c r="D65" s="1" t="s">
        <v>335</v>
      </c>
      <c r="E65" s="1" t="s">
        <v>217</v>
      </c>
      <c r="F65" s="2">
        <v>7070298438</v>
      </c>
      <c r="G65" s="1" t="s">
        <v>46</v>
      </c>
      <c r="H65" s="1" t="s">
        <v>15</v>
      </c>
      <c r="I65" s="2">
        <v>8</v>
      </c>
      <c r="J65" s="2">
        <v>78</v>
      </c>
      <c r="K65" s="2">
        <v>624</v>
      </c>
      <c r="L65" s="1" t="s">
        <v>41</v>
      </c>
      <c r="M65" s="2" t="s">
        <v>218</v>
      </c>
      <c r="N65" s="1" t="str">
        <f t="shared" si="0"/>
        <v>Single Order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thickBot="1" x14ac:dyDescent="0.3">
      <c r="A66" s="1" t="s">
        <v>219</v>
      </c>
      <c r="B66" s="1" t="s">
        <v>220</v>
      </c>
      <c r="C66" s="1" t="s">
        <v>324</v>
      </c>
      <c r="D66" s="1" t="s">
        <v>336</v>
      </c>
      <c r="E66" s="1" t="s">
        <v>221</v>
      </c>
      <c r="F66" s="2">
        <v>9500426290</v>
      </c>
      <c r="G66" s="1" t="s">
        <v>25</v>
      </c>
      <c r="H66" s="1" t="s">
        <v>26</v>
      </c>
      <c r="I66" s="2">
        <v>9</v>
      </c>
      <c r="J66" s="2">
        <v>238</v>
      </c>
      <c r="K66" s="2">
        <v>2142</v>
      </c>
      <c r="L66" s="1" t="s">
        <v>35</v>
      </c>
      <c r="M66" s="2" t="s">
        <v>222</v>
      </c>
      <c r="N66" s="1" t="str">
        <f t="shared" si="0"/>
        <v>Single Order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thickBot="1" x14ac:dyDescent="0.3">
      <c r="A67" s="1" t="s">
        <v>223</v>
      </c>
      <c r="B67" s="1" t="s">
        <v>224</v>
      </c>
      <c r="C67" s="1" t="s">
        <v>324</v>
      </c>
      <c r="D67" s="1" t="s">
        <v>333</v>
      </c>
      <c r="E67" s="1" t="s">
        <v>225</v>
      </c>
      <c r="F67" s="2">
        <v>9228856718</v>
      </c>
      <c r="G67" s="1" t="s">
        <v>55</v>
      </c>
      <c r="H67" s="1" t="s">
        <v>34</v>
      </c>
      <c r="I67" s="1">
        <v>5</v>
      </c>
      <c r="J67" s="2">
        <v>402</v>
      </c>
      <c r="K67" s="4" t="e">
        <v>#VALUE!</v>
      </c>
      <c r="L67" s="1" t="s">
        <v>60</v>
      </c>
      <c r="M67" s="2" t="s">
        <v>226</v>
      </c>
      <c r="N67" s="1" t="str">
        <f t="shared" ref="N67:N101" si="1">IF(COUNTIF($B$2:$B$101,B67)&gt;1,"Multiple Orders","Single Order")</f>
        <v>Single Order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thickBot="1" x14ac:dyDescent="0.3">
      <c r="A68" s="1" t="s">
        <v>227</v>
      </c>
      <c r="B68" s="1" t="s">
        <v>228</v>
      </c>
      <c r="C68" s="1" t="s">
        <v>323</v>
      </c>
      <c r="D68" s="1" t="s">
        <v>334</v>
      </c>
      <c r="E68" s="1" t="s">
        <v>229</v>
      </c>
      <c r="F68" s="2">
        <v>6332788471</v>
      </c>
      <c r="G68" s="1" t="s">
        <v>14</v>
      </c>
      <c r="H68" s="1" t="s">
        <v>15</v>
      </c>
      <c r="I68" s="1">
        <v>5</v>
      </c>
      <c r="J68" s="2">
        <v>181</v>
      </c>
      <c r="K68" s="4" t="e">
        <v>#VALUE!</v>
      </c>
      <c r="L68" s="1" t="s">
        <v>16</v>
      </c>
      <c r="M68" s="2" t="s">
        <v>230</v>
      </c>
      <c r="N68" s="1" t="str">
        <f t="shared" si="1"/>
        <v>Multiple Orders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thickBot="1" x14ac:dyDescent="0.3">
      <c r="A69" s="1" t="s">
        <v>231</v>
      </c>
      <c r="B69" s="1" t="s">
        <v>79</v>
      </c>
      <c r="C69" s="1" t="s">
        <v>319</v>
      </c>
      <c r="D69" s="1" t="s">
        <v>332</v>
      </c>
      <c r="E69" s="1" t="s">
        <v>80</v>
      </c>
      <c r="F69" s="2">
        <v>6993260504</v>
      </c>
      <c r="G69" s="1" t="s">
        <v>40</v>
      </c>
      <c r="H69" s="1" t="s">
        <v>34</v>
      </c>
      <c r="I69" s="2">
        <v>3</v>
      </c>
      <c r="J69" s="2">
        <v>371</v>
      </c>
      <c r="K69" s="2">
        <v>1113</v>
      </c>
      <c r="L69" s="1" t="s">
        <v>35</v>
      </c>
      <c r="M69" s="3">
        <v>45385</v>
      </c>
      <c r="N69" s="1" t="str">
        <f t="shared" si="1"/>
        <v>Multiple Orders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thickBot="1" x14ac:dyDescent="0.3">
      <c r="A70" s="1" t="s">
        <v>232</v>
      </c>
      <c r="B70" s="1" t="s">
        <v>233</v>
      </c>
      <c r="C70" s="1" t="s">
        <v>320</v>
      </c>
      <c r="D70" s="1" t="s">
        <v>331</v>
      </c>
      <c r="E70" s="1" t="s">
        <v>234</v>
      </c>
      <c r="F70" s="2">
        <v>8330497115</v>
      </c>
      <c r="G70" s="1" t="s">
        <v>68</v>
      </c>
      <c r="H70" s="1" t="s">
        <v>15</v>
      </c>
      <c r="I70" s="2">
        <v>7</v>
      </c>
      <c r="J70" s="2">
        <v>41</v>
      </c>
      <c r="K70" s="2">
        <v>287</v>
      </c>
      <c r="L70" s="1" t="s">
        <v>35</v>
      </c>
      <c r="M70" s="2" t="s">
        <v>235</v>
      </c>
      <c r="N70" s="1" t="str">
        <f t="shared" si="1"/>
        <v>Single Order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thickBot="1" x14ac:dyDescent="0.3">
      <c r="A71" s="1" t="s">
        <v>236</v>
      </c>
      <c r="B71" s="1" t="s">
        <v>145</v>
      </c>
      <c r="C71" s="1" t="s">
        <v>320</v>
      </c>
      <c r="D71" s="1" t="s">
        <v>336</v>
      </c>
      <c r="E71" s="1" t="s">
        <v>146</v>
      </c>
      <c r="F71" s="2">
        <v>8987248494</v>
      </c>
      <c r="G71" s="1" t="s">
        <v>20</v>
      </c>
      <c r="H71" s="1" t="s">
        <v>15</v>
      </c>
      <c r="I71" s="2">
        <v>10</v>
      </c>
      <c r="J71" s="2">
        <v>204</v>
      </c>
      <c r="K71" s="2">
        <v>2040</v>
      </c>
      <c r="L71" s="1" t="s">
        <v>41</v>
      </c>
      <c r="M71" s="3">
        <v>45505</v>
      </c>
      <c r="N71" s="1" t="str">
        <f t="shared" si="1"/>
        <v>Multiple Orders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thickBot="1" x14ac:dyDescent="0.3">
      <c r="A72" s="1" t="s">
        <v>237</v>
      </c>
      <c r="B72" s="1" t="s">
        <v>105</v>
      </c>
      <c r="C72" s="1" t="s">
        <v>323</v>
      </c>
      <c r="D72" s="1" t="s">
        <v>328</v>
      </c>
      <c r="E72" s="1" t="s">
        <v>106</v>
      </c>
      <c r="F72" s="2">
        <v>9665531029</v>
      </c>
      <c r="G72" s="1" t="s">
        <v>40</v>
      </c>
      <c r="H72" s="1" t="s">
        <v>34</v>
      </c>
      <c r="I72" s="2">
        <v>9</v>
      </c>
      <c r="J72" s="2">
        <v>419</v>
      </c>
      <c r="K72" s="2">
        <v>3771</v>
      </c>
      <c r="L72" s="1" t="s">
        <v>35</v>
      </c>
      <c r="M72" s="3">
        <v>45573</v>
      </c>
      <c r="N72" s="1" t="str">
        <f t="shared" si="1"/>
        <v>Multiple Orders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thickBot="1" x14ac:dyDescent="0.3">
      <c r="A73" s="1" t="s">
        <v>238</v>
      </c>
      <c r="B73" s="1" t="s">
        <v>149</v>
      </c>
      <c r="C73" s="1" t="s">
        <v>326</v>
      </c>
      <c r="D73" s="1" t="s">
        <v>333</v>
      </c>
      <c r="E73" s="1" t="s">
        <v>150</v>
      </c>
      <c r="F73" s="2">
        <v>7871901278</v>
      </c>
      <c r="G73" s="1" t="s">
        <v>68</v>
      </c>
      <c r="H73" s="1" t="s">
        <v>15</v>
      </c>
      <c r="I73" s="2">
        <v>1</v>
      </c>
      <c r="J73" s="2">
        <v>209</v>
      </c>
      <c r="K73" s="2">
        <v>209</v>
      </c>
      <c r="L73" s="1" t="s">
        <v>35</v>
      </c>
      <c r="M73" s="2" t="s">
        <v>239</v>
      </c>
      <c r="N73" s="1" t="str">
        <f t="shared" si="1"/>
        <v>Multiple Orders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thickBot="1" x14ac:dyDescent="0.3">
      <c r="A74" s="1" t="s">
        <v>240</v>
      </c>
      <c r="B74" s="1" t="s">
        <v>241</v>
      </c>
      <c r="C74" s="1" t="s">
        <v>319</v>
      </c>
      <c r="D74" s="1" t="s">
        <v>334</v>
      </c>
      <c r="E74" s="1" t="s">
        <v>242</v>
      </c>
      <c r="F74" s="2">
        <v>9949401194</v>
      </c>
      <c r="G74" s="1" t="s">
        <v>95</v>
      </c>
      <c r="H74" s="1" t="s">
        <v>15</v>
      </c>
      <c r="I74" s="2">
        <v>10</v>
      </c>
      <c r="J74" s="2">
        <v>283</v>
      </c>
      <c r="K74" s="2">
        <v>2830</v>
      </c>
      <c r="L74" s="1" t="s">
        <v>16</v>
      </c>
      <c r="M74" s="2" t="s">
        <v>243</v>
      </c>
      <c r="N74" s="1" t="str">
        <f t="shared" si="1"/>
        <v>Multiple Orders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thickBot="1" x14ac:dyDescent="0.3">
      <c r="A75" s="1" t="s">
        <v>244</v>
      </c>
      <c r="B75" s="1" t="s">
        <v>245</v>
      </c>
      <c r="C75" s="1" t="s">
        <v>321</v>
      </c>
      <c r="D75" s="1" t="s">
        <v>328</v>
      </c>
      <c r="E75" s="1" t="s">
        <v>246</v>
      </c>
      <c r="F75" s="2">
        <v>6582824840</v>
      </c>
      <c r="G75" s="1" t="s">
        <v>68</v>
      </c>
      <c r="H75" s="1" t="s">
        <v>15</v>
      </c>
      <c r="I75" s="2">
        <v>3</v>
      </c>
      <c r="J75" s="2">
        <v>35</v>
      </c>
      <c r="K75" s="2">
        <v>105</v>
      </c>
      <c r="L75" s="1" t="s">
        <v>41</v>
      </c>
      <c r="M75" s="2" t="s">
        <v>247</v>
      </c>
      <c r="N75" s="1" t="str">
        <f t="shared" si="1"/>
        <v>Single Order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thickBot="1" x14ac:dyDescent="0.3">
      <c r="A76" s="1" t="s">
        <v>248</v>
      </c>
      <c r="B76" s="1" t="s">
        <v>249</v>
      </c>
      <c r="C76" s="1" t="s">
        <v>326</v>
      </c>
      <c r="D76" s="1" t="s">
        <v>334</v>
      </c>
      <c r="E76" s="1" t="s">
        <v>250</v>
      </c>
      <c r="F76" s="2">
        <v>7403792057</v>
      </c>
      <c r="G76" s="1" t="s">
        <v>33</v>
      </c>
      <c r="H76" s="1" t="s">
        <v>26</v>
      </c>
      <c r="I76" s="1">
        <v>5</v>
      </c>
      <c r="J76" s="2">
        <v>395</v>
      </c>
      <c r="K76" s="4" t="e">
        <v>#VALUE!</v>
      </c>
      <c r="L76" s="1" t="s">
        <v>16</v>
      </c>
      <c r="M76" s="3">
        <v>45482</v>
      </c>
      <c r="N76" s="1" t="str">
        <f t="shared" si="1"/>
        <v>Single Order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thickBot="1" x14ac:dyDescent="0.3">
      <c r="A77" s="1" t="s">
        <v>251</v>
      </c>
      <c r="B77" s="1" t="s">
        <v>97</v>
      </c>
      <c r="C77" s="1" t="s">
        <v>324</v>
      </c>
      <c r="D77" s="1" t="s">
        <v>327</v>
      </c>
      <c r="E77" s="1" t="s">
        <v>98</v>
      </c>
      <c r="F77" s="2">
        <v>9217034696</v>
      </c>
      <c r="G77" s="1" t="s">
        <v>25</v>
      </c>
      <c r="H77" s="1" t="s">
        <v>15</v>
      </c>
      <c r="I77" s="2">
        <v>6</v>
      </c>
      <c r="J77" s="2">
        <v>124</v>
      </c>
      <c r="K77" s="2">
        <v>744</v>
      </c>
      <c r="L77" s="1" t="s">
        <v>16</v>
      </c>
      <c r="M77" s="3">
        <v>45599</v>
      </c>
      <c r="N77" s="1" t="str">
        <f t="shared" si="1"/>
        <v>Multiple Orders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thickBot="1" x14ac:dyDescent="0.3">
      <c r="A78" s="1" t="s">
        <v>252</v>
      </c>
      <c r="B78" s="1" t="s">
        <v>112</v>
      </c>
      <c r="C78" s="1" t="s">
        <v>325</v>
      </c>
      <c r="D78" s="1" t="s">
        <v>329</v>
      </c>
      <c r="E78" s="1" t="s">
        <v>113</v>
      </c>
      <c r="F78" s="2">
        <v>6856247605</v>
      </c>
      <c r="G78" s="1" t="s">
        <v>20</v>
      </c>
      <c r="H78" s="1" t="s">
        <v>15</v>
      </c>
      <c r="I78" s="2">
        <v>10</v>
      </c>
      <c r="J78" s="2">
        <v>88</v>
      </c>
      <c r="K78" s="2">
        <v>880</v>
      </c>
      <c r="L78" s="1" t="s">
        <v>35</v>
      </c>
      <c r="M78" s="3">
        <v>45387</v>
      </c>
      <c r="N78" s="1" t="str">
        <f t="shared" si="1"/>
        <v>Multiple Orders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thickBot="1" x14ac:dyDescent="0.3">
      <c r="A79" s="1" t="s">
        <v>253</v>
      </c>
      <c r="B79" s="1" t="s">
        <v>187</v>
      </c>
      <c r="C79" s="1" t="s">
        <v>321</v>
      </c>
      <c r="D79" s="1" t="s">
        <v>336</v>
      </c>
      <c r="E79" s="1" t="s">
        <v>188</v>
      </c>
      <c r="F79" s="2">
        <v>6936150587</v>
      </c>
      <c r="G79" s="1" t="s">
        <v>68</v>
      </c>
      <c r="H79" s="1" t="s">
        <v>15</v>
      </c>
      <c r="I79" s="1">
        <v>5</v>
      </c>
      <c r="J79" s="2">
        <v>402</v>
      </c>
      <c r="K79" s="4" t="e">
        <v>#VALUE!</v>
      </c>
      <c r="L79" s="1" t="s">
        <v>16</v>
      </c>
      <c r="M79" s="3">
        <v>45449</v>
      </c>
      <c r="N79" s="1" t="str">
        <f t="shared" si="1"/>
        <v>Multiple Orders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thickBot="1" x14ac:dyDescent="0.3">
      <c r="A80" s="1" t="s">
        <v>254</v>
      </c>
      <c r="B80" s="1" t="s">
        <v>255</v>
      </c>
      <c r="C80" s="1" t="s">
        <v>319</v>
      </c>
      <c r="D80" s="1" t="s">
        <v>333</v>
      </c>
      <c r="E80" s="1" t="s">
        <v>256</v>
      </c>
      <c r="F80" s="2">
        <v>6464280597</v>
      </c>
      <c r="G80" s="1" t="s">
        <v>110</v>
      </c>
      <c r="H80" s="1" t="s">
        <v>15</v>
      </c>
      <c r="I80" s="1">
        <v>5</v>
      </c>
      <c r="J80" s="2">
        <v>304</v>
      </c>
      <c r="K80" s="4" t="e">
        <v>#VALUE!</v>
      </c>
      <c r="L80" s="1" t="s">
        <v>35</v>
      </c>
      <c r="M80" s="2" t="s">
        <v>257</v>
      </c>
      <c r="N80" s="1" t="str">
        <f t="shared" si="1"/>
        <v>Single Order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thickBot="1" x14ac:dyDescent="0.3">
      <c r="A81" s="1" t="s">
        <v>258</v>
      </c>
      <c r="B81" s="1" t="s">
        <v>259</v>
      </c>
      <c r="C81" s="1" t="s">
        <v>326</v>
      </c>
      <c r="D81" s="1" t="s">
        <v>330</v>
      </c>
      <c r="E81" s="1" t="s">
        <v>260</v>
      </c>
      <c r="F81" s="2">
        <v>8543040948</v>
      </c>
      <c r="G81" s="1" t="s">
        <v>55</v>
      </c>
      <c r="H81" s="1" t="s">
        <v>15</v>
      </c>
      <c r="I81" s="1">
        <v>5</v>
      </c>
      <c r="J81" s="2">
        <v>445</v>
      </c>
      <c r="K81" s="4" t="e">
        <v>#VALUE!</v>
      </c>
      <c r="L81" s="1" t="s">
        <v>16</v>
      </c>
      <c r="M81" s="2" t="s">
        <v>42</v>
      </c>
      <c r="N81" s="1" t="str">
        <f t="shared" si="1"/>
        <v>Multiple Orders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thickBot="1" x14ac:dyDescent="0.3">
      <c r="A82" s="1" t="s">
        <v>261</v>
      </c>
      <c r="B82" s="1" t="s">
        <v>262</v>
      </c>
      <c r="C82" s="1" t="s">
        <v>317</v>
      </c>
      <c r="D82" s="1" t="s">
        <v>327</v>
      </c>
      <c r="E82" s="1" t="s">
        <v>263</v>
      </c>
      <c r="F82" s="2">
        <v>7491228808</v>
      </c>
      <c r="G82" s="1" t="s">
        <v>25</v>
      </c>
      <c r="H82" s="1" t="s">
        <v>26</v>
      </c>
      <c r="I82" s="2">
        <v>6</v>
      </c>
      <c r="J82" s="2">
        <v>45</v>
      </c>
      <c r="K82" s="2">
        <v>270</v>
      </c>
      <c r="L82" s="1" t="s">
        <v>41</v>
      </c>
      <c r="M82" s="2" t="s">
        <v>264</v>
      </c>
      <c r="N82" s="1" t="str">
        <f t="shared" si="1"/>
        <v>Single Order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thickBot="1" x14ac:dyDescent="0.3">
      <c r="A83" s="1" t="s">
        <v>265</v>
      </c>
      <c r="B83" s="1" t="s">
        <v>266</v>
      </c>
      <c r="C83" s="1" t="s">
        <v>325</v>
      </c>
      <c r="D83" s="1" t="s">
        <v>328</v>
      </c>
      <c r="E83" s="1" t="s">
        <v>267</v>
      </c>
      <c r="F83" s="2">
        <v>9531884396</v>
      </c>
      <c r="G83" s="1" t="s">
        <v>68</v>
      </c>
      <c r="H83" s="1" t="s">
        <v>15</v>
      </c>
      <c r="I83" s="2">
        <v>2</v>
      </c>
      <c r="J83" s="2">
        <v>231</v>
      </c>
      <c r="K83" s="2">
        <v>462</v>
      </c>
      <c r="L83" s="1" t="s">
        <v>35</v>
      </c>
      <c r="M83" s="2" t="s">
        <v>268</v>
      </c>
      <c r="N83" s="1" t="str">
        <f t="shared" si="1"/>
        <v>Single Order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thickBot="1" x14ac:dyDescent="0.3">
      <c r="A84" s="1" t="s">
        <v>269</v>
      </c>
      <c r="B84" s="1" t="s">
        <v>28</v>
      </c>
      <c r="C84" s="1" t="s">
        <v>319</v>
      </c>
      <c r="D84" s="1" t="s">
        <v>328</v>
      </c>
      <c r="E84" s="1" t="s">
        <v>29</v>
      </c>
      <c r="F84" s="2">
        <v>6756502473</v>
      </c>
      <c r="G84" s="1" t="s">
        <v>25</v>
      </c>
      <c r="H84" s="1" t="s">
        <v>34</v>
      </c>
      <c r="I84" s="1">
        <v>5</v>
      </c>
      <c r="J84" s="2">
        <v>325</v>
      </c>
      <c r="K84" s="4" t="e">
        <v>#VALUE!</v>
      </c>
      <c r="L84" s="1" t="s">
        <v>35</v>
      </c>
      <c r="M84" s="2" t="s">
        <v>85</v>
      </c>
      <c r="N84" s="1" t="str">
        <f t="shared" si="1"/>
        <v>Multiple Orders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thickBot="1" x14ac:dyDescent="0.3">
      <c r="A85" s="1" t="s">
        <v>270</v>
      </c>
      <c r="B85" s="1" t="s">
        <v>211</v>
      </c>
      <c r="C85" s="1" t="s">
        <v>324</v>
      </c>
      <c r="D85" s="1" t="s">
        <v>328</v>
      </c>
      <c r="E85" s="1" t="s">
        <v>212</v>
      </c>
      <c r="F85" s="2">
        <v>9546503094</v>
      </c>
      <c r="G85" s="1" t="s">
        <v>110</v>
      </c>
      <c r="H85" s="1" t="s">
        <v>26</v>
      </c>
      <c r="I85" s="2">
        <v>6</v>
      </c>
      <c r="J85" s="2">
        <v>446</v>
      </c>
      <c r="K85" s="2">
        <v>2676</v>
      </c>
      <c r="L85" s="1" t="s">
        <v>16</v>
      </c>
      <c r="M85" s="2" t="s">
        <v>235</v>
      </c>
      <c r="N85" s="1" t="str">
        <f t="shared" si="1"/>
        <v>Multiple Orders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thickBot="1" x14ac:dyDescent="0.3">
      <c r="A86" s="1" t="s">
        <v>271</v>
      </c>
      <c r="B86" s="1" t="s">
        <v>228</v>
      </c>
      <c r="C86" s="1" t="s">
        <v>323</v>
      </c>
      <c r="D86" s="1" t="s">
        <v>334</v>
      </c>
      <c r="E86" s="1" t="s">
        <v>229</v>
      </c>
      <c r="F86" s="2">
        <v>7047385483</v>
      </c>
      <c r="G86" s="1" t="s">
        <v>68</v>
      </c>
      <c r="H86" s="1" t="s">
        <v>15</v>
      </c>
      <c r="I86" s="2">
        <v>10</v>
      </c>
      <c r="J86" s="2">
        <v>322</v>
      </c>
      <c r="K86" s="2">
        <v>3220</v>
      </c>
      <c r="L86" s="1" t="s">
        <v>41</v>
      </c>
      <c r="M86" s="2" t="s">
        <v>257</v>
      </c>
      <c r="N86" s="1" t="str">
        <f t="shared" si="1"/>
        <v>Multiple Orders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thickBot="1" x14ac:dyDescent="0.3">
      <c r="A87" s="1" t="s">
        <v>272</v>
      </c>
      <c r="B87" s="1" t="s">
        <v>153</v>
      </c>
      <c r="C87" s="1" t="s">
        <v>325</v>
      </c>
      <c r="D87" s="1" t="s">
        <v>334</v>
      </c>
      <c r="E87" s="1" t="s">
        <v>154</v>
      </c>
      <c r="F87" s="2">
        <v>9654814605</v>
      </c>
      <c r="G87" s="1" t="s">
        <v>33</v>
      </c>
      <c r="H87" s="1" t="s">
        <v>15</v>
      </c>
      <c r="I87" s="2">
        <v>8</v>
      </c>
      <c r="J87" s="2">
        <v>118</v>
      </c>
      <c r="K87" s="2">
        <v>944</v>
      </c>
      <c r="L87" s="1" t="s">
        <v>41</v>
      </c>
      <c r="M87" s="2" t="s">
        <v>172</v>
      </c>
      <c r="N87" s="1" t="str">
        <f t="shared" si="1"/>
        <v>Multiple Orders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thickBot="1" x14ac:dyDescent="0.3">
      <c r="A88" s="1" t="s">
        <v>273</v>
      </c>
      <c r="B88" s="1" t="s">
        <v>274</v>
      </c>
      <c r="C88" s="1" t="s">
        <v>322</v>
      </c>
      <c r="D88" s="1" t="s">
        <v>333</v>
      </c>
      <c r="E88" s="1" t="s">
        <v>275</v>
      </c>
      <c r="F88" s="2">
        <v>9780945510</v>
      </c>
      <c r="G88" s="1" t="s">
        <v>110</v>
      </c>
      <c r="H88" s="1" t="s">
        <v>34</v>
      </c>
      <c r="I88" s="1">
        <v>5</v>
      </c>
      <c r="J88" s="2">
        <v>294</v>
      </c>
      <c r="K88" s="4" t="e">
        <v>#VALUE!</v>
      </c>
      <c r="L88" s="1" t="s">
        <v>60</v>
      </c>
      <c r="M88" s="2" t="s">
        <v>276</v>
      </c>
      <c r="N88" s="1" t="str">
        <f t="shared" si="1"/>
        <v>Single Order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thickBot="1" x14ac:dyDescent="0.3">
      <c r="A89" s="1" t="s">
        <v>277</v>
      </c>
      <c r="B89" s="1" t="s">
        <v>49</v>
      </c>
      <c r="C89" s="1" t="s">
        <v>321</v>
      </c>
      <c r="D89" s="1" t="s">
        <v>329</v>
      </c>
      <c r="E89" s="1" t="s">
        <v>50</v>
      </c>
      <c r="F89" s="2">
        <v>9092697141</v>
      </c>
      <c r="G89" s="1" t="s">
        <v>40</v>
      </c>
      <c r="H89" s="1" t="s">
        <v>26</v>
      </c>
      <c r="I89" s="2">
        <v>9</v>
      </c>
      <c r="J89" s="2">
        <v>398</v>
      </c>
      <c r="K89" s="2">
        <v>3582</v>
      </c>
      <c r="L89" s="1" t="s">
        <v>35</v>
      </c>
      <c r="M89" s="2" t="s">
        <v>278</v>
      </c>
      <c r="N89" s="1" t="str">
        <f t="shared" si="1"/>
        <v>Multiple Orders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thickBot="1" x14ac:dyDescent="0.3">
      <c r="A90" s="1" t="s">
        <v>279</v>
      </c>
      <c r="B90" s="1" t="s">
        <v>200</v>
      </c>
      <c r="C90" s="1" t="s">
        <v>324</v>
      </c>
      <c r="D90" s="1" t="s">
        <v>334</v>
      </c>
      <c r="E90" s="1" t="s">
        <v>201</v>
      </c>
      <c r="F90" s="2">
        <v>9405620755</v>
      </c>
      <c r="G90" s="1" t="s">
        <v>20</v>
      </c>
      <c r="H90" s="1" t="s">
        <v>15</v>
      </c>
      <c r="I90" s="2">
        <v>2</v>
      </c>
      <c r="J90" s="2">
        <v>160</v>
      </c>
      <c r="K90" s="2">
        <v>320</v>
      </c>
      <c r="L90" s="1" t="s">
        <v>60</v>
      </c>
      <c r="M90" s="2" t="s">
        <v>280</v>
      </c>
      <c r="N90" s="1" t="str">
        <f t="shared" si="1"/>
        <v>Multiple Orders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thickBot="1" x14ac:dyDescent="0.3">
      <c r="A91" s="1" t="s">
        <v>281</v>
      </c>
      <c r="B91" s="1" t="s">
        <v>282</v>
      </c>
      <c r="C91" s="1" t="s">
        <v>323</v>
      </c>
      <c r="D91" s="1" t="s">
        <v>336</v>
      </c>
      <c r="E91" s="1" t="s">
        <v>283</v>
      </c>
      <c r="F91" s="2">
        <v>7584930775</v>
      </c>
      <c r="G91" s="1" t="s">
        <v>68</v>
      </c>
      <c r="H91" s="1" t="s">
        <v>15</v>
      </c>
      <c r="I91" s="2">
        <v>9</v>
      </c>
      <c r="J91" s="2">
        <v>281</v>
      </c>
      <c r="K91" s="2">
        <v>2529</v>
      </c>
      <c r="L91" s="1" t="s">
        <v>41</v>
      </c>
      <c r="M91" s="2" t="s">
        <v>284</v>
      </c>
      <c r="N91" s="1" t="str">
        <f t="shared" si="1"/>
        <v>Single Order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thickBot="1" x14ac:dyDescent="0.3">
      <c r="A92" s="1" t="s">
        <v>285</v>
      </c>
      <c r="B92" s="1" t="s">
        <v>286</v>
      </c>
      <c r="C92" s="1" t="s">
        <v>322</v>
      </c>
      <c r="D92" s="1" t="s">
        <v>334</v>
      </c>
      <c r="E92" s="1" t="s">
        <v>287</v>
      </c>
      <c r="F92" s="2">
        <v>7163577186</v>
      </c>
      <c r="G92" s="1" t="s">
        <v>14</v>
      </c>
      <c r="H92" s="1" t="s">
        <v>26</v>
      </c>
      <c r="I92" s="2">
        <v>4</v>
      </c>
      <c r="J92" s="2">
        <v>71</v>
      </c>
      <c r="K92" s="2">
        <v>284</v>
      </c>
      <c r="L92" s="1" t="s">
        <v>41</v>
      </c>
      <c r="M92" s="3">
        <v>45633</v>
      </c>
      <c r="N92" s="1" t="str">
        <f t="shared" si="1"/>
        <v>Single Order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thickBot="1" x14ac:dyDescent="0.3">
      <c r="A93" s="1" t="s">
        <v>288</v>
      </c>
      <c r="B93" s="1" t="s">
        <v>289</v>
      </c>
      <c r="C93" s="1" t="s">
        <v>321</v>
      </c>
      <c r="D93" s="1" t="s">
        <v>335</v>
      </c>
      <c r="E93" s="1" t="s">
        <v>290</v>
      </c>
      <c r="F93" s="2">
        <v>9273579452</v>
      </c>
      <c r="G93" s="1" t="s">
        <v>95</v>
      </c>
      <c r="H93" s="1" t="s">
        <v>15</v>
      </c>
      <c r="I93" s="2">
        <v>4</v>
      </c>
      <c r="J93" s="2">
        <v>120</v>
      </c>
      <c r="K93" s="2">
        <v>480</v>
      </c>
      <c r="L93" s="1" t="s">
        <v>41</v>
      </c>
      <c r="M93" s="2" t="s">
        <v>291</v>
      </c>
      <c r="N93" s="1" t="str">
        <f t="shared" si="1"/>
        <v>Single Order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7" thickBot="1" x14ac:dyDescent="0.3">
      <c r="A94" s="1" t="s">
        <v>292</v>
      </c>
      <c r="B94" s="1" t="s">
        <v>170</v>
      </c>
      <c r="C94" s="1" t="s">
        <v>317</v>
      </c>
      <c r="D94" s="1" t="s">
        <v>335</v>
      </c>
      <c r="E94" s="1" t="s">
        <v>171</v>
      </c>
      <c r="F94" s="2">
        <v>8563196714</v>
      </c>
      <c r="G94" s="1" t="s">
        <v>14</v>
      </c>
      <c r="H94" s="1" t="s">
        <v>15</v>
      </c>
      <c r="I94" s="2">
        <v>4</v>
      </c>
      <c r="J94" s="2">
        <v>161</v>
      </c>
      <c r="K94" s="2">
        <v>644</v>
      </c>
      <c r="L94" s="1" t="s">
        <v>60</v>
      </c>
      <c r="M94" s="3">
        <v>45394</v>
      </c>
      <c r="N94" s="1" t="str">
        <f t="shared" si="1"/>
        <v>Multiple Orders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thickBot="1" x14ac:dyDescent="0.3">
      <c r="A95" s="1" t="s">
        <v>293</v>
      </c>
      <c r="B95" s="1" t="s">
        <v>162</v>
      </c>
      <c r="C95" s="1" t="s">
        <v>323</v>
      </c>
      <c r="D95" s="1" t="s">
        <v>327</v>
      </c>
      <c r="E95" s="1" t="s">
        <v>163</v>
      </c>
      <c r="F95" s="2">
        <v>9040916238</v>
      </c>
      <c r="G95" s="1" t="s">
        <v>25</v>
      </c>
      <c r="H95" s="1" t="s">
        <v>15</v>
      </c>
      <c r="I95" s="1">
        <v>5</v>
      </c>
      <c r="J95" s="2">
        <v>33</v>
      </c>
      <c r="K95" s="4" t="e">
        <v>#VALUE!</v>
      </c>
      <c r="L95" s="1" t="s">
        <v>41</v>
      </c>
      <c r="M95" s="2" t="s">
        <v>294</v>
      </c>
      <c r="N95" s="1" t="str">
        <f t="shared" si="1"/>
        <v>Multiple Orders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thickBot="1" x14ac:dyDescent="0.3">
      <c r="A96" s="1" t="s">
        <v>295</v>
      </c>
      <c r="B96" s="1" t="s">
        <v>241</v>
      </c>
      <c r="C96" s="1" t="s">
        <v>319</v>
      </c>
      <c r="D96" s="1" t="s">
        <v>334</v>
      </c>
      <c r="E96" s="1" t="s">
        <v>242</v>
      </c>
      <c r="F96" s="2">
        <v>6440610570</v>
      </c>
      <c r="G96" s="1" t="s">
        <v>20</v>
      </c>
      <c r="H96" s="1" t="s">
        <v>15</v>
      </c>
      <c r="I96" s="2">
        <v>10</v>
      </c>
      <c r="J96" s="2">
        <v>155</v>
      </c>
      <c r="K96" s="2">
        <v>1550</v>
      </c>
      <c r="L96" s="1" t="s">
        <v>35</v>
      </c>
      <c r="M96" s="2" t="s">
        <v>296</v>
      </c>
      <c r="N96" s="1" t="str">
        <f t="shared" si="1"/>
        <v>Multiple Orders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thickBot="1" x14ac:dyDescent="0.3">
      <c r="A97" s="1" t="s">
        <v>297</v>
      </c>
      <c r="B97" s="1" t="s">
        <v>298</v>
      </c>
      <c r="C97" s="1" t="s">
        <v>322</v>
      </c>
      <c r="D97" s="1" t="s">
        <v>332</v>
      </c>
      <c r="E97" s="1" t="s">
        <v>299</v>
      </c>
      <c r="F97" s="2">
        <v>6220661337</v>
      </c>
      <c r="G97" s="1" t="s">
        <v>14</v>
      </c>
      <c r="H97" s="1" t="s">
        <v>26</v>
      </c>
      <c r="I97" s="2">
        <v>2</v>
      </c>
      <c r="J97" s="2">
        <v>430</v>
      </c>
      <c r="K97" s="2">
        <v>860</v>
      </c>
      <c r="L97" s="1" t="s">
        <v>35</v>
      </c>
      <c r="M97" s="2" t="s">
        <v>300</v>
      </c>
      <c r="N97" s="1" t="str">
        <f t="shared" si="1"/>
        <v>Single Order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thickBot="1" x14ac:dyDescent="0.3">
      <c r="A98" s="1" t="s">
        <v>301</v>
      </c>
      <c r="B98" s="1" t="s">
        <v>187</v>
      </c>
      <c r="C98" s="1" t="s">
        <v>321</v>
      </c>
      <c r="D98" s="1" t="s">
        <v>336</v>
      </c>
      <c r="E98" s="1" t="s">
        <v>188</v>
      </c>
      <c r="F98" s="2">
        <v>8703448716</v>
      </c>
      <c r="G98" s="1" t="s">
        <v>20</v>
      </c>
      <c r="H98" s="1" t="s">
        <v>15</v>
      </c>
      <c r="I98" s="2">
        <v>3</v>
      </c>
      <c r="J98" s="2">
        <v>86</v>
      </c>
      <c r="K98" s="2">
        <v>258</v>
      </c>
      <c r="L98" s="1" t="s">
        <v>16</v>
      </c>
      <c r="M98" s="3">
        <v>45575</v>
      </c>
      <c r="N98" s="1" t="str">
        <f t="shared" si="1"/>
        <v>Multiple Orders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thickBot="1" x14ac:dyDescent="0.3">
      <c r="A99" s="1" t="s">
        <v>302</v>
      </c>
      <c r="B99" s="1" t="s">
        <v>259</v>
      </c>
      <c r="C99" s="1" t="s">
        <v>326</v>
      </c>
      <c r="D99" s="1" t="s">
        <v>330</v>
      </c>
      <c r="E99" s="1" t="s">
        <v>260</v>
      </c>
      <c r="F99" s="2">
        <v>8396905421</v>
      </c>
      <c r="G99" s="1" t="s">
        <v>40</v>
      </c>
      <c r="H99" s="1" t="s">
        <v>34</v>
      </c>
      <c r="I99" s="2">
        <v>10</v>
      </c>
      <c r="J99" s="2">
        <v>414</v>
      </c>
      <c r="K99" s="2">
        <v>4140</v>
      </c>
      <c r="L99" s="1" t="s">
        <v>35</v>
      </c>
      <c r="M99" s="3">
        <v>45573</v>
      </c>
      <c r="N99" s="1" t="str">
        <f t="shared" si="1"/>
        <v>Multiple Orders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thickBot="1" x14ac:dyDescent="0.3">
      <c r="A100" s="1" t="s">
        <v>303</v>
      </c>
      <c r="B100" s="1" t="s">
        <v>200</v>
      </c>
      <c r="C100" s="1" t="s">
        <v>324</v>
      </c>
      <c r="D100" s="1" t="s">
        <v>334</v>
      </c>
      <c r="E100" s="1" t="s">
        <v>201</v>
      </c>
      <c r="F100" s="2">
        <v>7277121963</v>
      </c>
      <c r="G100" s="1" t="s">
        <v>110</v>
      </c>
      <c r="H100" s="1" t="s">
        <v>26</v>
      </c>
      <c r="I100" s="1">
        <v>5</v>
      </c>
      <c r="J100" s="2">
        <v>301</v>
      </c>
      <c r="K100" s="4" t="e">
        <v>#VALUE!</v>
      </c>
      <c r="L100" s="1" t="s">
        <v>16</v>
      </c>
      <c r="M100" s="3">
        <v>45567</v>
      </c>
      <c r="N100" s="1" t="str">
        <f t="shared" si="1"/>
        <v>Multiple Orders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thickBot="1" x14ac:dyDescent="0.3">
      <c r="A101" s="1" t="s">
        <v>304</v>
      </c>
      <c r="B101" s="1" t="s">
        <v>207</v>
      </c>
      <c r="C101" s="1" t="s">
        <v>326</v>
      </c>
      <c r="D101" s="1" t="s">
        <v>329</v>
      </c>
      <c r="E101" s="1" t="s">
        <v>208</v>
      </c>
      <c r="F101" s="2">
        <v>7136646449</v>
      </c>
      <c r="G101" s="1" t="s">
        <v>46</v>
      </c>
      <c r="H101" s="1" t="s">
        <v>15</v>
      </c>
      <c r="I101" s="2">
        <v>3</v>
      </c>
      <c r="J101" s="2">
        <v>132</v>
      </c>
      <c r="K101" s="2">
        <v>396</v>
      </c>
      <c r="L101" s="1" t="s">
        <v>16</v>
      </c>
      <c r="M101" s="2" t="s">
        <v>305</v>
      </c>
      <c r="N101" s="1" t="str">
        <f t="shared" si="1"/>
        <v>Multiple Orders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thickBot="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thickBot="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thickBot="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thickBot="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thickBot="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thickBot="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thickBot="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thickBot="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thickBot="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thickBot="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5.75" thickBot="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5.75" thickBot="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5.75" thickBot="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5.75" thickBot="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5.75" thickBot="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5.75" thickBot="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5.75" thickBot="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5.75" thickBot="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5.75" thickBot="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5.75" thickBot="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5.75" thickBot="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5.75" thickBot="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5.75" thickBot="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5.75" thickBot="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5.75" thickBot="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5.75" thickBot="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5.75" thickBot="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5.75" thickBo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5.75" thickBot="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5.75" thickBo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5.75" thickBot="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5.75" thickBot="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5.75" thickBot="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5.75" thickBot="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5.75" thickBot="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5.75" thickBot="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5.75" thickBot="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5.75" thickBot="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5.75" thickBot="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5.75" thickBot="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5.75" thickBot="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5.75" thickBot="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5.75" thickBot="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5.75" thickBot="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5.75" thickBot="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5.75" thickBot="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5.75" thickBot="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5.75" thickBot="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5.75" thickBot="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5.75" thickBot="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5.75" thickBot="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5.75" thickBot="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5.75" thickBot="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5.75" thickBot="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5.75" thickBot="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5.75" thickBot="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5.75" thickBot="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5.75" thickBot="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5.75" thickBot="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5.75" thickBot="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5.75" thickBot="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5.75" thickBot="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5.75" thickBot="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5.75" thickBot="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5.75" thickBot="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5.75" thickBot="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5.75" thickBot="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5.75" thickBot="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5.75" thickBot="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5.75" thickBot="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5.75" thickBot="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5.75" thickBot="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5.75" thickBot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5.75" thickBot="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5.75" thickBot="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5.75" thickBot="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5.75" thickBot="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5.75" thickBot="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5.75" thickBot="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5.75" thickBot="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5.75" thickBot="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5.75" thickBot="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5.75" thickBot="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5.75" thickBot="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5.75" thickBot="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5.75" thickBot="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5.75" thickBot="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5.75" thickBot="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5.75" thickBot="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5.75" thickBot="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5.75" thickBot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5.75" thickBot="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5.75" thickBot="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5.75" thickBot="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5.75" thickBot="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5.75" thickBot="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5.75" thickBot="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5.75" thickBot="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5.75" thickBot="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5.75" thickBot="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5.75" thickBot="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5.75" thickBot="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5.75" thickBot="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5.75" thickBot="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5.75" thickBot="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5.75" thickBot="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5.75" thickBot="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5.75" thickBot="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5.75" thickBot="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5.75" thickBot="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5.75" thickBot="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5.75" thickBot="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5.75" thickBot="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5.75" thickBot="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5.75" thickBot="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5.75" thickBot="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5.75" thickBo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5.75" thickBo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5.75" thickBo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5.75" thickBo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5.75" thickBo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5.75" thickBo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5.75" thickBo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5.75" thickBo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5.75" thickBo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5.75" thickBo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5.75" thickBo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5.75" thickBo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5.75" thickBo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5.75" thickBo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5.75" thickBo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5.75" thickBo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5.75" thickBo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5.75" thickBo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5.75" thickBo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5.75" thickBo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5.75" thickBo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5.75" thickBo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5.75" thickBo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5.75" thickBo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5.75" thickBo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5.75" thickBo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5.75" thickBo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5.75" thickBo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5.75" thickBo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5.75" thickBo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5.75" thickBo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5.75" thickBo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5.75" thickBo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5.75" thickBo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5.75" thickBo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5.75" thickBo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5.75" thickBo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5.75" thickBo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5.75" thickBo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5.75" thickBo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5.75" thickBo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5.75" thickBo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5.75" thickBo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5.75" thickBo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5.75" thickBo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5.75" thickBo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5.75" thickBo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5.75" thickBo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5.75" thickBo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5.75" thickBo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5.75" thickBo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5.75" thickBo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5.75" thickBo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5.75" thickBo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5.75" thickBo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5.75" thickBo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5.75" thickBo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5.75" thickBo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5.75" thickBo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5.75" thickBo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5.75" thickBo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5.75" thickBo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5.75" thickBo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5.75" thickBo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5.75" thickBo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5.75" thickBo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5.75" thickBo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5.75" thickBo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5.75" thickBo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5.75" thickBo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5.75" thickBo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5.75" thickBo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5.75" thickBo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5.75" thickBo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5.75" thickBo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5.75" thickBo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5.75" thickBo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5.75" thickBo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5.75" thickBo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5.75" thickBo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5.75" thickBo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5.75" thickBo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5.75" thickBo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5.75" thickBo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5.75" thickBo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5.75" thickBo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5.75" thickBo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5.75" thickBo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5.75" thickBo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5.75" thickBo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5.75" thickBo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5.75" thickBo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5.75" thickBo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5.75" thickBo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5.75" thickBo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5.75" thickBo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5.75" thickBo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5.75" thickBo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5.75" thickBo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5.75" thickBo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5.75" thickBo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5.75" thickBo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5.75" thickBo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5.75" thickBo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5.75" thickBo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5.75" thickBo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5.75" thickBo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5.75" thickBo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5.75" thickBo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5.75" thickBo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5.75" thickBo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5.75" thickBo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5.75" thickBo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5.75" thickBo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5.75" thickBo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5.75" thickBo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5.75" thickBo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5.75" thickBo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5.75" thickBo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5.75" thickBo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5.75" thickBo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5.75" thickBo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5.75" thickBo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5.75" thickBo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5.75" thickBo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5.75" thickBo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5.75" thickBo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5.75" thickBo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5.75" thickBo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5.75" thickBo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5.75" thickBo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5.75" thickBo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5.75" thickBo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5.75" thickBo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5.75" thickBo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5.75" thickBo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5.75" thickBo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5.75" thickBo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5.75" thickBo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5.75" thickBo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5.75" thickBo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5.75" thickBo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5.75" thickBo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5.75" thickBo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5.75" thickBo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5.75" thickBo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5.75" thickBo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5.75" thickBo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5.75" thickBo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5.75" thickBo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5.75" thickBo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5.75" thickBo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5.75" thickBo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5.75" thickBo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5.75" thickBo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5.75" thickBo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5.75" thickBo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5.75" thickBo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5.75" thickBo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5.75" thickBo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5.75" thickBo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5.75" thickBo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5.75" thickBo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5.75" thickBo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5.75" thickBo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5.75" thickBo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5.75" thickBo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5.75" thickBo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5.75" thickBo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5.75" thickBo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5.75" thickBo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5.75" thickBo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5.75" thickBo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5.75" thickBo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5.75" thickBo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5.75" thickBo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5.75" thickBo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5.75" thickBo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5.75" thickBo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5.75" thickBo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5.75" thickBo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5.75" thickBo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5.75" thickBo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5.75" thickBo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5.75" thickBo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5.75" thickBo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5.75" thickBo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5.75" thickBo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5.75" thickBo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5.75" thickBo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5.75" thickBo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5.75" thickBo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5.75" thickBo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5.75" thickBo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5.75" thickBo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5.75" thickBo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5.75" thickBo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5.75" thickBo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5.75" thickBo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5.75" thickBo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5.75" thickBo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5.75" thickBo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5.75" thickBo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5.75" thickBo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5.75" thickBo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5.75" thickBo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5.75" thickBo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5.75" thickBo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5.75" thickBo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5.75" thickBo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5.75" thickBo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5.75" thickBo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5.75" thickBo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5.75" thickBo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5.75" thickBo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5.75" thickBo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5.75" thickBo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5.75" thickBo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5.75" thickBo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5.75" thickBo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5.75" thickBo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5.75" thickBo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5.75" thickBo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5.75" thickBo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5.75" thickBo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5.75" thickBo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5.75" thickBo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5.75" thickBo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5.75" thickBo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5.75" thickBo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5.75" thickBo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5.75" thickBo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5.75" thickBo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5.75" thickBo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5.75" thickBo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5.75" thickBo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5.75" thickBo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5.75" thickBo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5.75" thickBo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5.75" thickBo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5.75" thickBo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5.75" thickBo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5.75" thickBo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5.75" thickBo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5.75" thickBo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5.75" thickBo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5.75" thickBo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5.75" thickBo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5.75" thickBo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5.75" thickBo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5.75" thickBo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5.75" thickBo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5.75" thickBo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5.75" thickBo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5.75" thickBo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5.75" thickBo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5.75" thickBo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5.75" thickBo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5.75" thickBo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5.75" thickBo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5.75" thickBo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5.75" thickBo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5.75" thickBo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5.75" thickBo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5.75" thickBo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5.75" thickBo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5.75" thickBo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5.75" thickBo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5.75" thickBo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5.75" thickBo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5.75" thickBo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5.75" thickBo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5.75" thickBo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5.75" thickBo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5.75" thickBo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5.75" thickBo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5.75" thickBo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5.75" thickBo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5.75" thickBo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5.75" thickBo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5.75" thickBo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5.75" thickBo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5.75" thickBo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5.75" thickBo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5.75" thickBo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5.75" thickBo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5.75" thickBo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5.75" thickBo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5.75" thickBo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5.75" thickBo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5.75" thickBo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5.75" thickBo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5.75" thickBo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5.75" thickBo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5.75" thickBo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5.75" thickBo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5.75" thickBo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5.75" thickBo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5.75" thickBo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5.75" thickBo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5.75" thickBo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5.75" thickBo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5.75" thickBo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5.75" thickBo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5.75" thickBo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5.75" thickBo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5.75" thickBo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5.75" thickBo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5.75" thickBo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5.75" thickBo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5.75" thickBo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5.75" thickBo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5.75" thickBo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5.75" thickBo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5.75" thickBo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5.75" thickBo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5.75" thickBo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5.75" thickBo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5.75" thickBo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5.75" thickBo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5.75" thickBo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5.75" thickBo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5.75" thickBo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5.75" thickBo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5.75" thickBo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5.75" thickBo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5.75" thickBo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5.75" thickBo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5.75" thickBo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5.75" thickBo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5.75" thickBo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5.75" thickBo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5.75" thickBo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5.75" thickBo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5.75" thickBo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5.75" thickBo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5.75" thickBo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5.75" thickBo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5.75" thickBo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5.75" thickBo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5.75" thickBo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5.75" thickBo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5.75" thickBo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5.75" thickBo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5.75" thickBo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5.75" thickBo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5.75" thickBo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5.75" thickBo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5.75" thickBo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5.75" thickBo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5.75" thickBo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5.75" thickBo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5.75" thickBo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5.75" thickBo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5.75" thickBo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5.75" thickBo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5.75" thickBo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5.75" thickBo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5.75" thickBo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5.75" thickBo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5.75" thickBo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5.75" thickBo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5.75" thickBo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5.75" thickBo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5.75" thickBo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5.75" thickBo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5.75" thickBo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5.75" thickBo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5.75" thickBo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5.75" thickBo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5.75" thickBo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5.75" thickBo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5.75" thickBo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5.75" thickBo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5.75" thickBo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5.75" thickBo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5.75" thickBo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5.75" thickBo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5.75" thickBo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5.75" thickBo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5.75" thickBo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5.75" thickBo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5.75" thickBo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5.75" thickBo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5.75" thickBo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5.75" thickBo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5.75" thickBo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5.75" thickBo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5.75" thickBo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5.75" thickBo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5.75" thickBo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5.75" thickBo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5.75" thickBo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5.75" thickBo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5.75" thickBo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5.75" thickBo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5.75" thickBo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5.75" thickBo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5.75" thickBo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5.75" thickBo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5.75" thickBo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5.75" thickBo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5.75" thickBo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5.75" thickBo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5.75" thickBo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5.75" thickBo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5.75" thickBo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5.75" thickBo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5.75" thickBo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5.75" thickBo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5.75" thickBo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5.75" thickBo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5.75" thickBo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5.75" thickBo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5.75" thickBo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5.75" thickBo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5.75" thickBo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5.75" thickBo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5.75" thickBo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5.75" thickBo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5.75" thickBo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5.75" thickBo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5.75" thickBo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5.75" thickBo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5.75" thickBo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5.75" thickBo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5.75" thickBo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5.75" thickBo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5.75" thickBo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5.75" thickBo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5.75" thickBo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5.75" thickBo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5.75" thickBo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5.75" thickBo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5.75" thickBo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5.75" thickBo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5.75" thickBo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5.75" thickBo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5.75" thickBo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5.75" thickBo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5.75" thickBo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5.75" thickBo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5.75" thickBo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5.75" thickBo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5.75" thickBo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5.75" thickBo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5.75" thickBo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5.75" thickBo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5.75" thickBo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5.75" thickBo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5.75" thickBo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5.75" thickBo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5.75" thickBo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5.75" thickBo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5.75" thickBo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5.75" thickBo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5.75" thickBo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5.75" thickBo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5.75" thickBo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5.75" thickBo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5.75" thickBo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5.75" thickBo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5.75" thickBo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5.75" thickBo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5.75" thickBo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5.75" thickBo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5.75" thickBo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5.75" thickBo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5.75" thickBo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5.75" thickBo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5.75" thickBo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5.75" thickBo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5.75" thickBo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5.75" thickBo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5.75" thickBo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5.75" thickBo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5.75" thickBo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5.75" thickBo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5.75" thickBo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5.75" thickBo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5.75" thickBo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5.75" thickBo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5.75" thickBo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5.75" thickBo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5.75" thickBo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5.75" thickBo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5.75" thickBo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5.75" thickBo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5.75" thickBo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5.75" thickBo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5.75" thickBo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5.75" thickBo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5.75" thickBo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5.75" thickBo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5.75" thickBo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5.75" thickBo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5.75" thickBo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5.75" thickBo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5.75" thickBo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5.75" thickBo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5.75" thickBo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5.75" thickBo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5.75" thickBo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5.75" thickBo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5.75" thickBo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5.75" thickBo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5.75" thickBo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5.75" thickBo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5.75" thickBo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5.75" thickBo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5.75" thickBo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5.75" thickBo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5.75" thickBo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5.75" thickBo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5.75" thickBo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5.75" thickBo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5.75" thickBo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5.75" thickBo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5.75" thickBo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5.75" thickBo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5.75" thickBo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5.75" thickBo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5.75" thickBo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5.75" thickBo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5.75" thickBo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5.75" thickBo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5.75" thickBo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5.75" thickBo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5.75" thickBo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5.75" thickBo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5.75" thickBo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5.75" thickBo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5.75" thickBo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5.75" thickBo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5.75" thickBo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5.75" thickBo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5.75" thickBo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5.75" thickBo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5.75" thickBo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5.75" thickBo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5.75" thickBo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5.75" thickBo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5.75" thickBo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5.75" thickBo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5.75" thickBo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5.75" thickBo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5.75" thickBo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5.75" thickBo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5.75" thickBo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5.75" thickBo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5.75" thickBo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5.75" thickBo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5.75" thickBo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5.75" thickBo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5.75" thickBo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5.75" thickBo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5.75" thickBo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5.75" thickBo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5.75" thickBo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5.75" thickBo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5.75" thickBo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5.75" thickBo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5.75" thickBo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5.75" thickBo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5.75" thickBo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5.75" thickBo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5.75" thickBo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5.75" thickBo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5.75" thickBo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5.75" thickBo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5.75" thickBo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5.75" thickBo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5.75" thickBo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5.75" thickBo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5.75" thickBo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5.75" thickBo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5.75" thickBo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5.75" thickBo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5.75" thickBo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5.75" thickBo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5.75" thickBo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5.75" thickBo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5.75" thickBo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5.75" thickBo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5.75" thickBo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5.75" thickBo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5.75" thickBo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5.75" thickBo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5.75" thickBo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5.75" thickBo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5.75" thickBo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5.75" thickBo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5.75" thickBo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5.75" thickBo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5.75" thickBo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5.75" thickBo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5.75" thickBo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5.75" thickBo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5.75" thickBo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5.75" thickBo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5.75" thickBo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5.75" thickBo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5.75" thickBo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5.75" thickBo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5.75" thickBo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5.75" thickBo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5.75" thickBo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5.75" thickBo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5.75" thickBo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5.75" thickBo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5.75" thickBo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5.75" thickBo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5.75" thickBo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5.75" thickBo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5.75" thickBo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5.75" thickBo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5.75" thickBo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5.75" thickBo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5.75" thickBo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5.75" thickBo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5.75" thickBo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5.75" thickBo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5.75" thickBo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5.75" thickBo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5.75" thickBo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5.75" thickBo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5.75" thickBo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5.75" thickBo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5.75" thickBo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5.75" thickBo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5.75" thickBo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5.75" thickBo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5.75" thickBo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5.75" thickBo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5.75" thickBo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5.75" thickBo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5.75" thickBo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5.75" thickBo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5.75" thickBo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5.75" thickBo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5.75" thickBo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5.75" thickBo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5.75" thickBo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5.75" thickBo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5.75" thickBo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5.75" thickBo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5.75" thickBo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5.75" thickBo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5.75" thickBo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5.75" thickBo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5.75" thickBo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5.75" thickBo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5.75" thickBo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5.75" thickBo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5.75" thickBo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5.75" thickBo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5.75" thickBo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5.75" thickBo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5.75" thickBo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5.75" thickBo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5.75" thickBo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5.75" thickBo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5.75" thickBo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5.75" thickBo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5.75" thickBo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5.75" thickBo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5.75" thickBo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5.75" thickBo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5.75" thickBo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5.75" thickBo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5.75" thickBo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5.75" thickBo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5.75" thickBo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5.75" thickBo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5.75" thickBo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5.75" thickBo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5.75" thickBo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5.75" thickBo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5.75" thickBo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5.75" thickBo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5.75" thickBo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5.75" thickBo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5.75" thickBo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5.75" thickBo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5.75" thickBo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5.75" thickBo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5.75" thickBo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5.75" thickBo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5.75" thickBo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5.75" thickBo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5.75" thickBo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5.75" thickBo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5.75" thickBo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5.75" thickBo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5.75" thickBo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5.75" thickBo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5.75" thickBo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5.75" thickBo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5.75" thickBo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5.75" thickBo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5.75" thickBo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5.75" thickBo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5.75" thickBo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5.75" thickBo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5.75" thickBo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5.75" thickBo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5.75" thickBo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5.75" thickBo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5.75" thickBo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5.75" thickBo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5.75" thickBo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5.75" thickBo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5.75" thickBo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5.75" thickBo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5.75" thickBo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5.75" thickBo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5.75" thickBo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5.75" thickBo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5.75" thickBo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5.75" thickBo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5.75" thickBo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5.75" thickBo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5.75" thickBo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5.75" thickBo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5.75" thickBo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5.75" thickBo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5.75" thickBo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5.75" thickBo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5.75" thickBo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5.75" thickBo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5.75" thickBo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5.75" thickBo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5.75" thickBo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5.75" thickBo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5.75" thickBo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5.75" thickBo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5.75" thickBo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5.75" thickBo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5.75" thickBo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5.75" thickBo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5.75" thickBo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5.75" thickBo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5.75" thickBo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5.75" thickBo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5.75" thickBo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5.75" thickBo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5.75" thickBo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5.75" thickBo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5.75" thickBo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5.75" thickBo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5.75" thickBo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5.75" thickBo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5.75" thickBo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5.75" thickBo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5.75" thickBo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5.75" thickBo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5.75" thickBo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5.75" thickBo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5.75" thickBo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2:28" ht="15.75" thickBo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2:28" ht="15.75" thickBo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2:28" ht="15.75" thickBo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2:28" ht="15.75" thickBo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2:28" ht="15.75" thickBo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2:28" ht="15.75" thickBo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2:28" ht="15.75" thickBo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2:28" ht="15.75" thickBo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2:28" ht="15.75" thickBo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2:28" ht="15.75" thickBo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2:28" ht="15.75" thickBo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2:28" ht="15.75" thickBo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2:28" ht="15.75" thickBo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2:28" ht="15.75" thickBo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2:28" ht="15.75" thickBo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2:28" ht="15.75" thickBo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2:28" ht="15.75" thickBo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2:28" ht="15.75" thickBo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2:28" ht="15.75" thickBo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2:28" ht="15.75" thickBo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2:28" ht="15.75" thickBo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2:28" ht="15.75" thickBo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2:28" ht="15.75" thickBo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autoFilter ref="L1:L1000" xr:uid="{10292F50-4E51-4528-B5A1-280D78E7CD95}"/>
  <mergeCells count="19">
    <mergeCell ref="O30:AA30"/>
    <mergeCell ref="O17:Z17"/>
    <mergeCell ref="O2:W2"/>
    <mergeCell ref="O3:U3"/>
    <mergeCell ref="O4:Q4"/>
    <mergeCell ref="O5:U5"/>
    <mergeCell ref="O7:W7"/>
    <mergeCell ref="O10:T10"/>
    <mergeCell ref="O11:V11"/>
    <mergeCell ref="O13:X13"/>
    <mergeCell ref="O15:Z15"/>
    <mergeCell ref="O28:W28"/>
    <mergeCell ref="O18:Q18"/>
    <mergeCell ref="O22:U22"/>
    <mergeCell ref="O23:V23"/>
    <mergeCell ref="O19:W19"/>
    <mergeCell ref="O20:W20"/>
    <mergeCell ref="O25:W25"/>
    <mergeCell ref="O29:U29"/>
  </mergeCells>
  <conditionalFormatting sqref="A2:N101">
    <cfRule type="expression" dxfId="1" priority="2">
      <formula>AND($H2="Electronics",$K2&gt;1000)</formula>
    </cfRule>
  </conditionalFormatting>
  <conditionalFormatting sqref="K1:K1048576">
    <cfRule type="cellIs" dxfId="0" priority="1" operator="greaterThan">
      <formula>2000</formula>
    </cfRule>
  </conditionalFormatting>
  <dataValidations count="1">
    <dataValidation type="whole" allowBlank="1" showInputMessage="1" showErrorMessage="1" sqref="I1:I1048576" xr:uid="{A34BD98E-4C6B-4126-94C9-B3BF90BECC9A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2025-12-18T12:00:34Z</dcterms:created>
  <dcterms:modified xsi:type="dcterms:W3CDTF">2025-12-23T14:51:52Z</dcterms:modified>
</cp:coreProperties>
</file>