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1acda7e9d6d686/Documents/"/>
    </mc:Choice>
  </mc:AlternateContent>
  <xr:revisionPtr revIDLastSave="4" documentId="8_{BB560D5F-AFD5-449F-8BA0-2C9C37F2D02F}" xr6:coauthVersionLast="47" xr6:coauthVersionMax="47" xr10:uidLastSave="{5AFA48F0-9AED-4C43-80B2-274169264C87}"/>
  <bookViews>
    <workbookView xWindow="-120" yWindow="-120" windowWidth="20730" windowHeight="11160" xr2:uid="{13A4E24D-5B73-44FB-A52F-21E097E80A8D}"/>
  </bookViews>
  <sheets>
    <sheet name="Sheet1" sheetId="1" r:id="rId1"/>
  </sheets>
  <definedNames>
    <definedName name="_xlnm._FilterDatabase" localSheetId="0" hidden="1">Sheet1!$B$77:$C$81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9" i="1" l="1"/>
  <c r="B81" i="1"/>
  <c r="B73" i="1"/>
  <c r="B65" i="1"/>
  <c r="B57" i="1"/>
  <c r="B49" i="1"/>
  <c r="B29" i="1"/>
  <c r="C21" i="1"/>
  <c r="B8" i="1"/>
</calcChain>
</file>

<file path=xl/sharedStrings.xml><?xml version="1.0" encoding="utf-8"?>
<sst xmlns="http://schemas.openxmlformats.org/spreadsheetml/2006/main" count="108" uniqueCount="66">
  <si>
    <t>Question 1:</t>
  </si>
  <si>
    <t>You have the following dataset:</t>
  </si>
  <si>
    <t xml:space="preserve">Product </t>
  </si>
  <si>
    <t>Sales</t>
  </si>
  <si>
    <t>Product A</t>
  </si>
  <si>
    <t>Product B</t>
  </si>
  <si>
    <t>Product C</t>
  </si>
  <si>
    <t>Write a formula to calculate the total sales of Product B and Product C only.</t>
  </si>
  <si>
    <t>Question 2:</t>
  </si>
  <si>
    <t>What formula would you use to count the number of cells that contain numeric values in the range for example A12:A21 ?</t>
  </si>
  <si>
    <t>Question 3:</t>
  </si>
  <si>
    <t>Using the data below, write a formula to find the average score of students who scored above 80:</t>
  </si>
  <si>
    <t>Student</t>
  </si>
  <si>
    <t>Score</t>
  </si>
  <si>
    <t>Alice</t>
  </si>
  <si>
    <t>Bob</t>
  </si>
  <si>
    <t>Charlie</t>
  </si>
  <si>
    <t>Question 4:</t>
  </si>
  <si>
    <t>Department</t>
  </si>
  <si>
    <t>Salary</t>
  </si>
  <si>
    <t>How would you sort the following dataset first by "Department" (A-Z) and then by "Salary" (Largest to Smallest)?</t>
  </si>
  <si>
    <t>Employee</t>
  </si>
  <si>
    <t>HR</t>
  </si>
  <si>
    <t>IT</t>
  </si>
  <si>
    <t>Answer 3:</t>
  </si>
  <si>
    <t>Answer 2:</t>
  </si>
  <si>
    <t>Answer 1:</t>
  </si>
  <si>
    <t>Answer 4:</t>
  </si>
  <si>
    <t>Question 5:</t>
  </si>
  <si>
    <t>Using the dataset below, find the formula to calculate the second smallest value in the "Revenue" column:</t>
  </si>
  <si>
    <t>Revenue</t>
  </si>
  <si>
    <t>Answer 5:</t>
  </si>
  <si>
    <t>Question 6:</t>
  </si>
  <si>
    <t>What formula would you use to count the number of employees in the "Sales" department from the dataset
 below?</t>
  </si>
  <si>
    <t>Answer 6:</t>
  </si>
  <si>
    <t>Question 7:</t>
  </si>
  <si>
    <t>Write a formula to calculate the total sales only for items that sold more than 200 units:</t>
  </si>
  <si>
    <t>Item</t>
  </si>
  <si>
    <t>Units Sold</t>
  </si>
  <si>
    <t>Item A</t>
  </si>
  <si>
    <t>Item B</t>
  </si>
  <si>
    <t>Item C</t>
  </si>
  <si>
    <t>Answer 7:</t>
  </si>
  <si>
    <t>Question 8:</t>
  </si>
  <si>
    <t>Using the dataset below, write a formula to find the maximum price of items that are marked as "Available":</t>
  </si>
  <si>
    <t>Price</t>
  </si>
  <si>
    <t>Availability</t>
  </si>
  <si>
    <t>Available</t>
  </si>
  <si>
    <t>Unavailable</t>
  </si>
  <si>
    <t>Answer 8:</t>
  </si>
  <si>
    <t>Question 9:</t>
  </si>
  <si>
    <t>Given the following data, what formula would you use to filter and count all employees earning above 5000 in the "HR" department?</t>
  </si>
  <si>
    <t>Answer 9:</t>
  </si>
  <si>
    <t>Question 10:</t>
  </si>
  <si>
    <t>Using the data below, write a formula to calculate the average sales of items priced above 100 but less than 300:</t>
  </si>
  <si>
    <t>Answer 10:</t>
  </si>
  <si>
    <t>I have sorted the data with the help of sort and filter option which is available in both home tab and data tab.</t>
  </si>
  <si>
    <t>[ =SUM(B5+B6) ]</t>
  </si>
  <si>
    <t>[ =COUNT(A12:A21) ]</t>
  </si>
  <si>
    <t>[ =AVERAGEIF(B26:B28,"&gt;80",B26:B28) ]</t>
  </si>
  <si>
    <t>[ =SMALL(B46:B48,2) ]</t>
  </si>
  <si>
    <t>[ =COUNTIF(B54:B56,"Sales") ]</t>
  </si>
  <si>
    <t>[ =SUMIF(B62:B64,"&gt;200",B62:B64) ]</t>
  </si>
  <si>
    <t>[ =MAXIFS(B70:B72,C70:C72,"Available") ]</t>
  </si>
  <si>
    <t>[ =COUNTIFS(B78:B80,"HR",C78:C80,"&gt;5000") ]</t>
  </si>
  <si>
    <t>[ =AVERAGEIFS(C86:C88,B86:B88,"&gt;100",B86:B88,"&lt;300")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</si>
</sst>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6" fontId="0" fillId="0" borderId="0" xfId="0" applyNumberFormat="1" applyAlignment="1">
      <alignment horizontal="center" vertical="top"/>
    </xf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5169-51F5-49E6-865F-3A02694E1097}">
  <dimension ref="A1:AA89"/>
  <sheetViews>
    <sheetView tabSelected="1" workbookViewId="0">
      <selection activeCell="G87" sqref="G87"/>
    </sheetView>
  </sheetViews>
  <sheetFormatPr defaultRowHeight="15" x14ac:dyDescent="0.25"/>
  <cols>
    <col min="1" max="1" width="13.28515625" customWidth="1"/>
    <col min="2" max="2" width="13.42578125" customWidth="1"/>
    <col min="3" max="3" width="12.28515625" customWidth="1"/>
    <col min="10" max="10" width="20.85546875" customWidth="1"/>
  </cols>
  <sheetData>
    <row r="1" spans="1:10" x14ac:dyDescent="0.25">
      <c r="A1" t="s">
        <v>0</v>
      </c>
    </row>
    <row r="2" spans="1:10" x14ac:dyDescent="0.25">
      <c r="A2" s="10" t="s">
        <v>1</v>
      </c>
      <c r="B2" s="10"/>
      <c r="C2" s="10"/>
    </row>
    <row r="3" spans="1:10" x14ac:dyDescent="0.25">
      <c r="A3" s="9" t="s">
        <v>2</v>
      </c>
      <c r="B3" s="9" t="s">
        <v>3</v>
      </c>
    </row>
    <row r="4" spans="1:10" x14ac:dyDescent="0.25">
      <c r="A4" s="8" t="s">
        <v>4</v>
      </c>
      <c r="B4" s="8">
        <v>150</v>
      </c>
    </row>
    <row r="5" spans="1:10" x14ac:dyDescent="0.25">
      <c r="A5" s="8" t="s">
        <v>5</v>
      </c>
      <c r="B5" s="8">
        <v>300</v>
      </c>
    </row>
    <row r="6" spans="1:10" x14ac:dyDescent="0.25">
      <c r="A6" s="8" t="s">
        <v>6</v>
      </c>
      <c r="B6" s="8">
        <v>450</v>
      </c>
    </row>
    <row r="7" spans="1:10" x14ac:dyDescent="0.25">
      <c r="A7" s="10" t="s">
        <v>7</v>
      </c>
      <c r="B7" s="10"/>
      <c r="C7" s="10"/>
      <c r="D7" s="10"/>
      <c r="E7" s="10"/>
      <c r="F7" s="10"/>
      <c r="G7" s="10"/>
    </row>
    <row r="8" spans="1:10" x14ac:dyDescent="0.25">
      <c r="A8" t="s">
        <v>26</v>
      </c>
      <c r="B8">
        <f>SUM(B5+B6)</f>
        <v>750</v>
      </c>
      <c r="C8" s="13" t="s">
        <v>57</v>
      </c>
      <c r="D8" s="13"/>
    </row>
    <row r="10" spans="1:10" x14ac:dyDescent="0.25">
      <c r="A10" t="s">
        <v>8</v>
      </c>
    </row>
    <row r="11" spans="1:10" x14ac:dyDescent="0.25">
      <c r="A11" s="10" t="s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9">
        <v>12</v>
      </c>
    </row>
    <row r="13" spans="1:10" x14ac:dyDescent="0.25">
      <c r="A13" s="9">
        <v>13</v>
      </c>
    </row>
    <row r="14" spans="1:10" x14ac:dyDescent="0.25">
      <c r="A14" s="9">
        <v>14</v>
      </c>
    </row>
    <row r="15" spans="1:10" x14ac:dyDescent="0.25">
      <c r="A15" s="9">
        <v>14</v>
      </c>
    </row>
    <row r="16" spans="1:10" x14ac:dyDescent="0.25">
      <c r="A16" s="9">
        <v>32</v>
      </c>
    </row>
    <row r="17" spans="1:19" x14ac:dyDescent="0.25">
      <c r="A17" s="9">
        <v>56</v>
      </c>
    </row>
    <row r="18" spans="1:19" x14ac:dyDescent="0.25">
      <c r="A18" s="9">
        <v>78</v>
      </c>
    </row>
    <row r="19" spans="1:19" x14ac:dyDescent="0.25">
      <c r="A19" s="9">
        <v>92</v>
      </c>
    </row>
    <row r="20" spans="1:19" x14ac:dyDescent="0.25">
      <c r="A20" s="9">
        <v>45</v>
      </c>
    </row>
    <row r="21" spans="1:19" x14ac:dyDescent="0.25">
      <c r="A21" s="9">
        <v>43</v>
      </c>
      <c r="B21" t="s">
        <v>25</v>
      </c>
      <c r="C21">
        <f>COUNT(A12:A21)</f>
        <v>10</v>
      </c>
      <c r="D21" s="13" t="s">
        <v>58</v>
      </c>
      <c r="E21" s="13"/>
    </row>
    <row r="23" spans="1:19" x14ac:dyDescent="0.25">
      <c r="A23" t="s">
        <v>10</v>
      </c>
    </row>
    <row r="24" spans="1:19" x14ac:dyDescent="0.25">
      <c r="A24" s="10" t="s">
        <v>11</v>
      </c>
      <c r="B24" s="10"/>
      <c r="C24" s="10"/>
      <c r="D24" s="10"/>
      <c r="E24" s="10"/>
      <c r="F24" s="10"/>
      <c r="G24" s="10"/>
      <c r="H24" s="10"/>
      <c r="I24" s="10"/>
    </row>
    <row r="25" spans="1:19" x14ac:dyDescent="0.25">
      <c r="A25" s="9" t="s">
        <v>12</v>
      </c>
      <c r="B25" s="9" t="s">
        <v>13</v>
      </c>
    </row>
    <row r="26" spans="1:19" x14ac:dyDescent="0.25">
      <c r="A26" s="8" t="s">
        <v>14</v>
      </c>
      <c r="B26" s="8">
        <v>85</v>
      </c>
    </row>
    <row r="27" spans="1:19" x14ac:dyDescent="0.25">
      <c r="A27" s="8" t="s">
        <v>15</v>
      </c>
      <c r="B27" s="8">
        <v>75</v>
      </c>
    </row>
    <row r="28" spans="1:19" x14ac:dyDescent="0.25">
      <c r="A28" s="8" t="s">
        <v>16</v>
      </c>
      <c r="B28" s="8">
        <v>90</v>
      </c>
    </row>
    <row r="29" spans="1:19" x14ac:dyDescent="0.25">
      <c r="A29" t="s">
        <v>24</v>
      </c>
      <c r="B29">
        <f>AVERAGEIF(B26:B28,"&gt;80",B26:B28)</f>
        <v>87.5</v>
      </c>
      <c r="C29" s="13" t="s">
        <v>59</v>
      </c>
      <c r="D29" s="13"/>
      <c r="E29" s="13"/>
      <c r="F29" s="13"/>
    </row>
    <row r="31" spans="1:19" x14ac:dyDescent="0.25">
      <c r="A31" t="s">
        <v>17</v>
      </c>
      <c r="B31" s="2"/>
    </row>
    <row r="32" spans="1:19" x14ac:dyDescent="0.25">
      <c r="A32" s="12" t="s">
        <v>20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4"/>
      <c r="O32" s="4"/>
      <c r="P32" s="5"/>
      <c r="Q32" s="5"/>
      <c r="R32" s="6"/>
      <c r="S32" s="4"/>
    </row>
    <row r="33" spans="1:27" x14ac:dyDescent="0.25">
      <c r="A33" s="9" t="s">
        <v>21</v>
      </c>
      <c r="B33" s="9" t="s">
        <v>18</v>
      </c>
      <c r="C33" s="9" t="s">
        <v>19</v>
      </c>
      <c r="R33" s="3"/>
    </row>
    <row r="34" spans="1:27" x14ac:dyDescent="0.25">
      <c r="A34" s="8" t="s">
        <v>14</v>
      </c>
      <c r="B34" s="8" t="s">
        <v>22</v>
      </c>
      <c r="C34" s="8">
        <v>5000</v>
      </c>
    </row>
    <row r="35" spans="1:27" x14ac:dyDescent="0.25">
      <c r="A35" s="8" t="s">
        <v>15</v>
      </c>
      <c r="B35" s="8" t="s">
        <v>23</v>
      </c>
      <c r="C35" s="8">
        <v>8000</v>
      </c>
    </row>
    <row r="36" spans="1:27" x14ac:dyDescent="0.25">
      <c r="A36" s="8" t="s">
        <v>16</v>
      </c>
      <c r="B36" s="8" t="s">
        <v>22</v>
      </c>
      <c r="C36" s="8">
        <v>4500</v>
      </c>
    </row>
    <row r="38" spans="1:27" x14ac:dyDescent="0.25">
      <c r="A38" t="s">
        <v>27</v>
      </c>
      <c r="B38" t="s">
        <v>14</v>
      </c>
      <c r="C38" t="s">
        <v>22</v>
      </c>
      <c r="D38">
        <v>8000</v>
      </c>
    </row>
    <row r="39" spans="1:27" x14ac:dyDescent="0.25">
      <c r="B39" t="s">
        <v>15</v>
      </c>
      <c r="C39" t="s">
        <v>22</v>
      </c>
      <c r="D39">
        <v>5000</v>
      </c>
    </row>
    <row r="40" spans="1:27" x14ac:dyDescent="0.25">
      <c r="B40" t="s">
        <v>16</v>
      </c>
      <c r="C40" t="s">
        <v>23</v>
      </c>
      <c r="D40">
        <v>4500</v>
      </c>
    </row>
    <row r="41" spans="1:27" x14ac:dyDescent="0.25">
      <c r="A41" s="10" t="s">
        <v>56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3" spans="1:27" x14ac:dyDescent="0.25">
      <c r="A43" s="1" t="s">
        <v>28</v>
      </c>
    </row>
    <row r="44" spans="1:27" x14ac:dyDescent="0.25">
      <c r="A44" s="10" t="s">
        <v>29</v>
      </c>
      <c r="B44" s="10"/>
      <c r="C44" s="10"/>
      <c r="D44" s="10"/>
      <c r="E44" s="10"/>
      <c r="F44" s="10"/>
      <c r="G44" s="10"/>
      <c r="H44" s="10"/>
      <c r="I44" s="10"/>
      <c r="J44" s="10"/>
    </row>
    <row r="45" spans="1:27" x14ac:dyDescent="0.25">
      <c r="A45" s="9" t="s">
        <v>2</v>
      </c>
      <c r="B45" s="9" t="s">
        <v>30</v>
      </c>
    </row>
    <row r="46" spans="1:27" x14ac:dyDescent="0.25">
      <c r="A46" s="8" t="s">
        <v>4</v>
      </c>
      <c r="B46" s="8">
        <v>1500</v>
      </c>
    </row>
    <row r="47" spans="1:27" x14ac:dyDescent="0.25">
      <c r="A47" s="8" t="s">
        <v>5</v>
      </c>
      <c r="B47" s="8">
        <v>1200</v>
      </c>
    </row>
    <row r="48" spans="1:27" x14ac:dyDescent="0.25">
      <c r="A48" s="8" t="s">
        <v>6</v>
      </c>
      <c r="B48" s="8">
        <v>1800</v>
      </c>
    </row>
    <row r="49" spans="1:11" x14ac:dyDescent="0.25">
      <c r="A49" t="s">
        <v>31</v>
      </c>
      <c r="B49">
        <f>SMALL(B46:B48,2)</f>
        <v>1500</v>
      </c>
      <c r="C49" s="13" t="s">
        <v>60</v>
      </c>
      <c r="D49" s="13"/>
    </row>
    <row r="51" spans="1:11" x14ac:dyDescent="0.25">
      <c r="A51" s="1" t="s">
        <v>32</v>
      </c>
    </row>
    <row r="52" spans="1:11" ht="14.25" customHeight="1" x14ac:dyDescent="0.25">
      <c r="A52" s="11" t="s">
        <v>33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x14ac:dyDescent="0.25">
      <c r="A53" s="15" t="s">
        <v>21</v>
      </c>
      <c r="B53" s="15" t="s">
        <v>18</v>
      </c>
    </row>
    <row r="54" spans="1:11" x14ac:dyDescent="0.25">
      <c r="A54" s="14" t="s">
        <v>14</v>
      </c>
      <c r="B54" s="14" t="s">
        <v>23</v>
      </c>
    </row>
    <row r="55" spans="1:11" x14ac:dyDescent="0.25">
      <c r="A55" s="8" t="s">
        <v>15</v>
      </c>
      <c r="B55" s="8" t="s">
        <v>3</v>
      </c>
    </row>
    <row r="56" spans="1:11" x14ac:dyDescent="0.25">
      <c r="A56" s="8" t="s">
        <v>16</v>
      </c>
      <c r="B56" s="8" t="s">
        <v>3</v>
      </c>
    </row>
    <row r="57" spans="1:11" x14ac:dyDescent="0.25">
      <c r="A57" t="s">
        <v>34</v>
      </c>
      <c r="B57">
        <f>COUNTIF(B54:B56,"Sales")</f>
        <v>2</v>
      </c>
      <c r="C57" s="13" t="s">
        <v>61</v>
      </c>
      <c r="D57" s="13"/>
      <c r="E57" s="13"/>
    </row>
    <row r="59" spans="1:11" x14ac:dyDescent="0.25">
      <c r="A59" s="1" t="s">
        <v>35</v>
      </c>
      <c r="B59" s="2"/>
    </row>
    <row r="60" spans="1:11" x14ac:dyDescent="0.25">
      <c r="A60" s="7" t="s">
        <v>36</v>
      </c>
    </row>
    <row r="61" spans="1:11" x14ac:dyDescent="0.25">
      <c r="A61" s="9" t="s">
        <v>37</v>
      </c>
      <c r="B61" s="9" t="s">
        <v>38</v>
      </c>
      <c r="C61" s="1"/>
    </row>
    <row r="62" spans="1:11" x14ac:dyDescent="0.25">
      <c r="A62" s="8" t="s">
        <v>39</v>
      </c>
      <c r="B62" s="8">
        <v>150</v>
      </c>
    </row>
    <row r="63" spans="1:11" x14ac:dyDescent="0.25">
      <c r="A63" s="8" t="s">
        <v>40</v>
      </c>
      <c r="B63" s="8">
        <v>300</v>
      </c>
    </row>
    <row r="64" spans="1:11" x14ac:dyDescent="0.25">
      <c r="A64" s="8" t="s">
        <v>41</v>
      </c>
      <c r="B64" s="8">
        <v>250</v>
      </c>
    </row>
    <row r="65" spans="1:6" x14ac:dyDescent="0.25">
      <c r="A65" t="s">
        <v>42</v>
      </c>
      <c r="B65">
        <f>SUMIF(B62:B64,"&gt;200",B62:B64)</f>
        <v>550</v>
      </c>
      <c r="C65" s="13" t="s">
        <v>62</v>
      </c>
      <c r="D65" s="13"/>
      <c r="E65" s="13"/>
      <c r="F65" s="13"/>
    </row>
    <row r="67" spans="1:6" x14ac:dyDescent="0.25">
      <c r="A67" s="7" t="s">
        <v>43</v>
      </c>
      <c r="B67" s="7"/>
    </row>
    <row r="68" spans="1:6" x14ac:dyDescent="0.25">
      <c r="A68" s="7" t="s">
        <v>44</v>
      </c>
    </row>
    <row r="69" spans="1:6" x14ac:dyDescent="0.25">
      <c r="A69" s="9" t="s">
        <v>37</v>
      </c>
      <c r="B69" s="9" t="s">
        <v>45</v>
      </c>
      <c r="C69" s="9" t="s">
        <v>46</v>
      </c>
    </row>
    <row r="70" spans="1:6" x14ac:dyDescent="0.25">
      <c r="A70" s="8" t="s">
        <v>39</v>
      </c>
      <c r="B70" s="8">
        <v>200</v>
      </c>
      <c r="C70" s="8" t="s">
        <v>47</v>
      </c>
      <c r="D70" s="1"/>
      <c r="E70" s="1"/>
    </row>
    <row r="71" spans="1:6" x14ac:dyDescent="0.25">
      <c r="A71" s="8" t="s">
        <v>40</v>
      </c>
      <c r="B71" s="8">
        <v>150</v>
      </c>
      <c r="C71" s="8" t="s">
        <v>48</v>
      </c>
    </row>
    <row r="72" spans="1:6" x14ac:dyDescent="0.25">
      <c r="A72" s="8" t="s">
        <v>41</v>
      </c>
      <c r="B72" s="8">
        <v>250</v>
      </c>
      <c r="C72" s="8" t="s">
        <v>47</v>
      </c>
    </row>
    <row r="73" spans="1:6" x14ac:dyDescent="0.25">
      <c r="A73" t="s">
        <v>49</v>
      </c>
      <c r="B73">
        <f>_xlfn.MAXIFS(B70:B72,C70:C72,"Available")</f>
        <v>250</v>
      </c>
      <c r="C73" s="16" t="s">
        <v>63</v>
      </c>
      <c r="D73" s="16"/>
      <c r="E73" s="16"/>
      <c r="F73" s="16"/>
    </row>
    <row r="75" spans="1:6" x14ac:dyDescent="0.25">
      <c r="A75" t="s">
        <v>50</v>
      </c>
    </row>
    <row r="76" spans="1:6" x14ac:dyDescent="0.25">
      <c r="A76" t="s">
        <v>51</v>
      </c>
    </row>
    <row r="77" spans="1:6" x14ac:dyDescent="0.25">
      <c r="A77" s="9" t="s">
        <v>21</v>
      </c>
      <c r="B77" s="9" t="s">
        <v>18</v>
      </c>
      <c r="C77" s="9" t="s">
        <v>19</v>
      </c>
    </row>
    <row r="78" spans="1:6" x14ac:dyDescent="0.25">
      <c r="A78" s="8" t="s">
        <v>14</v>
      </c>
      <c r="B78" s="8" t="s">
        <v>22</v>
      </c>
      <c r="C78" s="8">
        <v>4000</v>
      </c>
    </row>
    <row r="79" spans="1:6" x14ac:dyDescent="0.25">
      <c r="A79" s="8" t="s">
        <v>15</v>
      </c>
      <c r="B79" s="8" t="s">
        <v>22</v>
      </c>
      <c r="C79" s="8">
        <v>5500</v>
      </c>
    </row>
    <row r="80" spans="1:6" x14ac:dyDescent="0.25">
      <c r="A80" s="8" t="s">
        <v>16</v>
      </c>
      <c r="B80" s="8" t="s">
        <v>23</v>
      </c>
      <c r="C80" s="8">
        <v>6000</v>
      </c>
    </row>
    <row r="81" spans="1:8" x14ac:dyDescent="0.25">
      <c r="A81" t="s">
        <v>52</v>
      </c>
      <c r="B81">
        <f>COUNTIFS(B78:B80,"HR",C78:C80,"&gt;5000")</f>
        <v>1</v>
      </c>
      <c r="C81" s="13" t="s">
        <v>64</v>
      </c>
      <c r="D81" s="13"/>
      <c r="E81" s="13"/>
      <c r="F81" s="13"/>
      <c r="G81" s="13"/>
    </row>
    <row r="83" spans="1:8" x14ac:dyDescent="0.25">
      <c r="A83" t="s">
        <v>53</v>
      </c>
    </row>
    <row r="84" spans="1:8" x14ac:dyDescent="0.25">
      <c r="A84" t="s">
        <v>54</v>
      </c>
    </row>
    <row r="85" spans="1:8" x14ac:dyDescent="0.25">
      <c r="A85" s="9" t="s">
        <v>37</v>
      </c>
      <c r="B85" s="9" t="s">
        <v>45</v>
      </c>
      <c r="C85" s="9" t="s">
        <v>3</v>
      </c>
    </row>
    <row r="86" spans="1:8" x14ac:dyDescent="0.25">
      <c r="A86" s="8" t="s">
        <v>39</v>
      </c>
      <c r="B86" s="8">
        <v>90</v>
      </c>
      <c r="C86" s="8">
        <v>1000</v>
      </c>
    </row>
    <row r="87" spans="1:8" x14ac:dyDescent="0.25">
      <c r="A87" s="8" t="s">
        <v>40</v>
      </c>
      <c r="B87" s="8">
        <v>150</v>
      </c>
      <c r="C87" s="8">
        <v>1200</v>
      </c>
    </row>
    <row r="88" spans="1:8" x14ac:dyDescent="0.25">
      <c r="A88" s="8" t="s">
        <v>41</v>
      </c>
      <c r="B88" s="8">
        <v>250</v>
      </c>
      <c r="C88" s="8">
        <v>1500</v>
      </c>
    </row>
    <row r="89" spans="1:8" x14ac:dyDescent="0.25">
      <c r="A89" t="s">
        <v>55</v>
      </c>
      <c r="B89">
        <f>AVERAGEIFS(C86:C88,B86:B88,"&gt;100",B86:B88,"&lt;300")</f>
        <v>1350</v>
      </c>
      <c r="C89" s="13" t="s">
        <v>65</v>
      </c>
      <c r="D89" s="13"/>
      <c r="E89" s="13"/>
      <c r="F89" s="13"/>
      <c r="G89" s="13"/>
      <c r="H89" s="13"/>
    </row>
  </sheetData>
  <sortState xmlns:xlrd2="http://schemas.microsoft.com/office/spreadsheetml/2017/richdata2" ref="D38:D40">
    <sortCondition descending="1" ref="D38:D40"/>
  </sortState>
  <mergeCells count="17">
    <mergeCell ref="C57:E57"/>
    <mergeCell ref="C65:F65"/>
    <mergeCell ref="C73:F73"/>
    <mergeCell ref="C81:G81"/>
    <mergeCell ref="C89:H89"/>
    <mergeCell ref="A41:AA41"/>
    <mergeCell ref="A44:J44"/>
    <mergeCell ref="A52:K52"/>
    <mergeCell ref="A2:C2"/>
    <mergeCell ref="A7:G7"/>
    <mergeCell ref="A11:J11"/>
    <mergeCell ref="A24:I24"/>
    <mergeCell ref="A32:M32"/>
    <mergeCell ref="C8:D8"/>
    <mergeCell ref="D21:E21"/>
    <mergeCell ref="C29:F29"/>
    <mergeCell ref="C49:D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ali</dc:creator>
  <cp:lastModifiedBy>hafsa ali</cp:lastModifiedBy>
  <dcterms:created xsi:type="dcterms:W3CDTF">2025-12-15T08:13:47Z</dcterms:created>
  <dcterms:modified xsi:type="dcterms:W3CDTF">2025-12-23T13:34:49Z</dcterms:modified>
</cp:coreProperties>
</file>