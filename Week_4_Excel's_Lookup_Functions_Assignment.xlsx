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1acda7e9d6d686/Documents/"/>
    </mc:Choice>
  </mc:AlternateContent>
  <xr:revisionPtr revIDLastSave="7" documentId="8_{D9A0AAD3-3201-4ED9-B76B-E50225542B21}" xr6:coauthVersionLast="47" xr6:coauthVersionMax="47" xr10:uidLastSave="{C7DCBF7A-A2AA-41F2-85F5-19BDA78081D1}"/>
  <bookViews>
    <workbookView xWindow="-120" yWindow="-120" windowWidth="20730" windowHeight="11160" activeTab="1" xr2:uid="{B444D856-0A32-4102-AA33-0804538B00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0" i="2" l="1"/>
  <c r="J35" i="2"/>
  <c r="J34" i="2"/>
  <c r="G2" i="2"/>
  <c r="I22" i="2" a="1"/>
  <c r="I22" i="2" s="1"/>
  <c r="I18" i="2"/>
  <c r="I14" i="2"/>
  <c r="J10" i="2"/>
  <c r="J5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J2" i="1"/>
  <c r="J4" i="1"/>
  <c r="I6" i="1"/>
  <c r="I8" i="1"/>
  <c r="I9" i="1" a="1"/>
  <c r="I9" i="1"/>
  <c r="I10" i="1" a="1"/>
  <c r="I10" i="1" s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<sst xmlns="http://schemas.openxmlformats.org/spreadsheetml/2006/main" count="767" uniqueCount="156">
  <si>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</si>
  <si>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</si>
  <si>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</si>
  <si>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</si>
  <si>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</si>
  <si>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</si>
  <si>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</si>
  <si>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</si>
  <si>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</si>
  <si>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Ques1</t>
  </si>
  <si>
    <t>Product_2</t>
  </si>
  <si>
    <t>Stationery</t>
  </si>
  <si>
    <t>Product_3</t>
  </si>
  <si>
    <t>Electronics</t>
  </si>
  <si>
    <t>Supplier_D</t>
  </si>
  <si>
    <t>Ques2</t>
  </si>
  <si>
    <t>Product_50</t>
  </si>
  <si>
    <t>Product_4</t>
  </si>
  <si>
    <t>Product_5</t>
  </si>
  <si>
    <t>Supplier_A</t>
  </si>
  <si>
    <t>Ques3</t>
  </si>
  <si>
    <t>Product_6</t>
  </si>
  <si>
    <t>Product_7</t>
  </si>
  <si>
    <t>Supplier_B</t>
  </si>
  <si>
    <t>Ques4</t>
  </si>
  <si>
    <t>Product_8</t>
  </si>
  <si>
    <t>Ques5</t>
  </si>
  <si>
    <t>Product_9</t>
  </si>
  <si>
    <t>Ques6</t>
  </si>
  <si>
    <t>Product_10</t>
  </si>
  <si>
    <t>Accessories</t>
  </si>
  <si>
    <t>Product_11</t>
  </si>
  <si>
    <t>Product_12</t>
  </si>
  <si>
    <t>Product_99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</si>
  <si>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</si>
  <si>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</si>
  <si>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</si>
  <si>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</si>
  <si>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</si>
  <si>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</si>
  <si>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</si>
  <si>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</si>
  <si>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</si>
  <si>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</si>
  <si>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</si>
  <si>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</si>
  <si>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</si>
  <si>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</si>
  <si>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</si>
  <si>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</si>
  <si>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</si>
  <si>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</si>
  <si>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</si>
  <si>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</si>
  <si>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</si>
  <si>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</si>
  <si>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</si>
  <si>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</si>
  <si>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</si>
  <si>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</si>
  <si>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</si>
  <si>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</si>
  <si>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</si>
  <si>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</si>
  <si>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</si>
  <si>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</si>
  <si>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</si>
  <si>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</si>
  <si>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</si>
  <si>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</si>
  <si>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</si>
  <si>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</si>
  <si>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</si>
  <si>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</si>
  <si>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</si>
  <si>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</si>
  <si>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</si>
  <si>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</si>
  <si>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</si>
  <si>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</si>
  <si>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</si>
  <si>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</si>
  <si>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</si>
  <si>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</si>
  <si>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</si>
  <si>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</si>
  <si>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</si>
  <si>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</si>
  <si>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</si>
  <si>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</si>
  <si>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</si>
  <si>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</si>
  <si>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</si>
  <si>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</si>
  <si>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</si>
  <si>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</si>
  <si>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</si>
  <si>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</si>
  <si>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</si>
  <si>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</si>
  <si>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</si>
  <si>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</si>
  <si>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</si>
  <si>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</si>
  <si>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</si>
  <si>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</si>
  <si>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</si>
  <si>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</si>
  <si>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</si>
  <si>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</si>
  <si>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</si>
  <si>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</si>
  <si>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</si>
  <si>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</si>
  <si>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</si>
  <si>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</si>
  <si>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</si>
  <si>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</si>
  <si>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</si>
  <si>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Product_100</t>
  </si>
  <si>
    <t>Find the Price of Product with ID 25.</t>
  </si>
  <si>
    <t>Ques 2:</t>
  </si>
  <si>
    <t>What is the Stock for the product "Product_50"?</t>
  </si>
  <si>
    <t>Retrieve the Supplier name of the product with the highest Price.</t>
  </si>
  <si>
    <t>Find the Category of the product with the lowest Stock.</t>
  </si>
  <si>
    <t>Ques 1:</t>
  </si>
  <si>
    <t>Ans 1:</t>
  </si>
  <si>
    <t>Ans 2:</t>
  </si>
  <si>
    <t>Ques 3:</t>
  </si>
  <si>
    <t>Ans 3:</t>
  </si>
  <si>
    <t>Ques 4:</t>
  </si>
  <si>
    <t>Ans 4:</t>
  </si>
  <si>
    <t>Ques 5:</t>
  </si>
  <si>
    <t>Check if "Supplier_C" supplies any product in the "Electronics" category.</t>
  </si>
  <si>
    <t>Ans 5:</t>
  </si>
  <si>
    <t>Ques 6:</t>
  </si>
  <si>
    <t>Check if there is any product with a stock less than 100. If yes, find its name. (Hint : Use IF and VLOOKUP)</t>
  </si>
  <si>
    <t>Ans 6:</t>
  </si>
  <si>
    <t>Stock&lt;100</t>
  </si>
  <si>
    <t>I have done the solution , check column G for formula</t>
  </si>
  <si>
    <t>Ques 7:</t>
  </si>
  <si>
    <t>Retrieve the Price of the product from the second row using HLOOKUP.</t>
  </si>
  <si>
    <t>Ans 7:</t>
  </si>
  <si>
    <t>Ques 8:</t>
  </si>
  <si>
    <t>Find the Product Name with ID 99 using INDEX-MATCH</t>
  </si>
  <si>
    <t>Ans 8:</t>
  </si>
  <si>
    <t>[ =VLOOKUP(I5,A4:D104,4,0) ]</t>
  </si>
  <si>
    <t>[ =VLOOKUP(I10,B7:E107,4,0) ]</t>
  </si>
  <si>
    <t>[ =VLOOKUP(MAX(D:D),D:F,3,0) ]</t>
  </si>
  <si>
    <t>[ =XLOOKUP(MIN(E:E),E:E,C:C,0) ]</t>
  </si>
  <si>
    <t>[ =IF(AND(F:F="Supplier_C",C:C="Electronics"),"YES","NO") ]</t>
  </si>
  <si>
    <t>[ =IF(VLOOKUP(A2,$A$2:$F$101,5,FALSE)&lt;100,B2,"Not Found") ]</t>
  </si>
  <si>
    <t>[ =HLOOKUP(I34,I30:DE31,2,0) ]</t>
  </si>
  <si>
    <t xml:space="preserve"> OR -&gt;</t>
  </si>
  <si>
    <t>[ =HLOOKUP(D3,A3:D3,1,0) ]</t>
  </si>
  <si>
    <t>[ =INDEX(A:A,MATCH(I40,B:B,0))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</si>
</sst>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8" xfId="0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/>
    <xf numFmtId="0" fontId="0" fillId="0" borderId="9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E4C4-74E9-4160-888C-F056E123F7E8}">
  <dimension ref="A1:J101"/>
  <sheetViews>
    <sheetView workbookViewId="0">
      <selection activeCell="I13" sqref="I13:J13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6.5703125" bestFit="1" customWidth="1"/>
    <col min="4" max="4" width="5.42578125" bestFit="1" customWidth="1"/>
    <col min="5" max="5" width="5.7109375" bestFit="1" customWidth="1"/>
    <col min="6" max="6" width="10.7109375" bestFit="1" customWidth="1"/>
    <col min="8" max="8" width="6.5703125" customWidth="1"/>
    <col min="9" max="9" width="16.5703125" bestFit="1" customWidth="1"/>
    <col min="10" max="10" width="4" bestFit="1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3" t="s">
        <v>0</v>
      </c>
      <c r="J1" s="2"/>
    </row>
    <row r="2" spans="1:10" ht="15.75" thickBot="1" x14ac:dyDescent="0.3">
      <c r="A2">
        <v>1</v>
      </c>
      <c r="B2" t="s">
        <v>6</v>
      </c>
      <c r="C2" t="s">
        <v>7</v>
      </c>
      <c r="D2">
        <v>752</v>
      </c>
      <c r="E2">
        <v>231</v>
      </c>
      <c r="F2" t="s">
        <v>8</v>
      </c>
      <c r="H2" s="2" t="s">
        <v>9</v>
      </c>
      <c r="I2" s="2">
        <v>25</v>
      </c>
      <c r="J2" s="2">
        <f>VLOOKUP(I2,A1:D101,4,0)</f>
        <v>266</v>
      </c>
    </row>
    <row r="3" spans="1:10" ht="15.75" thickBot="1" x14ac:dyDescent="0.3">
      <c r="A3">
        <v>2</v>
      </c>
      <c r="B3" t="s">
        <v>10</v>
      </c>
      <c r="C3" t="s">
        <v>11</v>
      </c>
      <c r="D3">
        <v>451</v>
      </c>
      <c r="E3">
        <v>494</v>
      </c>
      <c r="F3" t="s">
        <v>8</v>
      </c>
      <c r="H3" s="2"/>
      <c r="I3" s="4" t="s">
        <v>1</v>
      </c>
      <c r="J3" s="2"/>
    </row>
    <row r="4" spans="1:10" ht="15.75" thickBot="1" x14ac:dyDescent="0.3">
      <c r="A4">
        <v>3</v>
      </c>
      <c r="B4" t="s">
        <v>12</v>
      </c>
      <c r="C4" t="s">
        <v>13</v>
      </c>
      <c r="D4">
        <v>779</v>
      </c>
      <c r="E4">
        <v>416</v>
      </c>
      <c r="F4" t="s">
        <v>14</v>
      </c>
      <c r="H4" s="2" t="s">
        <v>15</v>
      </c>
      <c r="I4" s="2" t="s">
        <v>16</v>
      </c>
      <c r="J4" s="2">
        <f>VLOOKUP(I4,B1:E101,4,0)</f>
        <v>146</v>
      </c>
    </row>
    <row r="5" spans="1:10" ht="15.75" thickBot="1" x14ac:dyDescent="0.3">
      <c r="A5">
        <v>4</v>
      </c>
      <c r="B5" t="s">
        <v>17</v>
      </c>
      <c r="C5" t="s">
        <v>7</v>
      </c>
      <c r="D5">
        <v>605</v>
      </c>
      <c r="E5">
        <v>240</v>
      </c>
      <c r="F5" t="s">
        <v>8</v>
      </c>
      <c r="H5" s="2"/>
      <c r="I5" s="5"/>
      <c r="J5" s="2"/>
    </row>
    <row r="6" spans="1:10" ht="15.75" thickBot="1" x14ac:dyDescent="0.3">
      <c r="A6">
        <v>5</v>
      </c>
      <c r="B6" t="s">
        <v>18</v>
      </c>
      <c r="C6" t="s">
        <v>7</v>
      </c>
      <c r="D6">
        <v>211</v>
      </c>
      <c r="E6">
        <v>246</v>
      </c>
      <c r="F6" t="s">
        <v>19</v>
      </c>
      <c r="H6" s="2" t="s">
        <v>20</v>
      </c>
      <c r="I6" s="6" t="str">
        <f>VLOOKUP(MAX(D:D),D:F,3,0)</f>
        <v>Supplier_C</v>
      </c>
      <c r="J6" s="7"/>
    </row>
    <row r="7" spans="1:10" ht="15.75" thickBot="1" x14ac:dyDescent="0.3">
      <c r="A7">
        <v>6</v>
      </c>
      <c r="B7" t="s">
        <v>21</v>
      </c>
      <c r="C7" t="s">
        <v>11</v>
      </c>
      <c r="D7">
        <v>251</v>
      </c>
      <c r="E7">
        <v>152</v>
      </c>
      <c r="F7" t="s">
        <v>8</v>
      </c>
      <c r="J7" s="5"/>
    </row>
    <row r="8" spans="1:10" ht="15.75" thickBot="1" x14ac:dyDescent="0.3">
      <c r="A8">
        <v>7</v>
      </c>
      <c r="B8" t="s">
        <v>22</v>
      </c>
      <c r="C8" t="s">
        <v>13</v>
      </c>
      <c r="D8">
        <v>319</v>
      </c>
      <c r="E8">
        <v>180</v>
      </c>
      <c r="F8" t="s">
        <v>23</v>
      </c>
      <c r="H8" s="8" t="s">
        <v>24</v>
      </c>
      <c r="I8" s="9" t="str">
        <f>_xlfn.XLOOKUP(MIN(E:E),E:E,C:C,0)</f>
        <v>Home Appliances</v>
      </c>
      <c r="J8" s="10"/>
    </row>
    <row r="9" spans="1:10" ht="15.75" thickBot="1" x14ac:dyDescent="0.3">
      <c r="A9">
        <v>8</v>
      </c>
      <c r="B9" t="s">
        <v>25</v>
      </c>
      <c r="C9" t="s">
        <v>13</v>
      </c>
      <c r="D9">
        <v>912</v>
      </c>
      <c r="E9">
        <v>38</v>
      </c>
      <c r="F9" t="s">
        <v>14</v>
      </c>
      <c r="H9" s="2" t="s">
        <v>26</v>
      </c>
      <c r="I9" s="11" t="str" cm="1">
        <f t="array" ref="I9">IF(AND(F:F="Supplier_C",C:C="Electronics"),"YES","NO")</f>
        <v>NO</v>
      </c>
      <c r="J9" s="12"/>
    </row>
    <row r="10" spans="1:10" x14ac:dyDescent="0.25">
      <c r="A10">
        <v>9</v>
      </c>
      <c r="B10" t="s">
        <v>27</v>
      </c>
      <c r="C10" t="s">
        <v>7</v>
      </c>
      <c r="D10">
        <v>865</v>
      </c>
      <c r="E10">
        <v>45</v>
      </c>
      <c r="F10" t="s">
        <v>19</v>
      </c>
      <c r="H10" s="13" t="s">
        <v>28</v>
      </c>
      <c r="I10" t="e" cm="1" vm="1">
        <f t="array" aca="1" ref="I10" ca="1">IF(E:E&lt;=100,_xlfn.XLOOKUP(E:E,E:E,B:B),"Not Found")</f>
        <v>#VALUE!</v>
      </c>
    </row>
    <row r="11" spans="1:10" x14ac:dyDescent="0.25">
      <c r="A11">
        <v>10</v>
      </c>
      <c r="B11" t="s">
        <v>29</v>
      </c>
      <c r="C11" t="s">
        <v>30</v>
      </c>
      <c r="D11">
        <v>320</v>
      </c>
      <c r="E11">
        <v>22</v>
      </c>
      <c r="F11" t="s">
        <v>14</v>
      </c>
    </row>
    <row r="12" spans="1:10" ht="15.75" thickBot="1" x14ac:dyDescent="0.3">
      <c r="A12">
        <v>11</v>
      </c>
      <c r="B12" t="s">
        <v>31</v>
      </c>
      <c r="C12" t="s">
        <v>7</v>
      </c>
      <c r="D12">
        <v>505</v>
      </c>
      <c r="E12">
        <v>169</v>
      </c>
      <c r="F12" t="s">
        <v>23</v>
      </c>
    </row>
    <row r="13" spans="1:10" ht="15.75" thickBot="1" x14ac:dyDescent="0.3">
      <c r="A13">
        <v>12</v>
      </c>
      <c r="B13" t="s">
        <v>32</v>
      </c>
      <c r="C13" t="s">
        <v>7</v>
      </c>
      <c r="D13">
        <v>511</v>
      </c>
      <c r="E13">
        <v>336</v>
      </c>
      <c r="F13" t="s">
        <v>23</v>
      </c>
      <c r="I13" s="2" t="s">
        <v>33</v>
      </c>
      <c r="J13" s="2">
        <f>INDEX(A:A,MATCH(I13,B:B,0))</f>
        <v>99</v>
      </c>
    </row>
    <row r="14" spans="1:10" x14ac:dyDescent="0.25">
      <c r="A14">
        <v>13</v>
      </c>
      <c r="B14" t="s">
        <v>34</v>
      </c>
      <c r="C14" t="s">
        <v>7</v>
      </c>
      <c r="D14">
        <v>776</v>
      </c>
      <c r="E14">
        <v>196</v>
      </c>
      <c r="F14" t="s">
        <v>23</v>
      </c>
    </row>
    <row r="15" spans="1:10" x14ac:dyDescent="0.25">
      <c r="A15">
        <v>14</v>
      </c>
      <c r="B15" t="s">
        <v>35</v>
      </c>
      <c r="C15" t="s">
        <v>7</v>
      </c>
      <c r="D15">
        <v>301</v>
      </c>
      <c r="E15">
        <v>252</v>
      </c>
      <c r="F15" t="s">
        <v>8</v>
      </c>
    </row>
    <row r="16" spans="1:10" x14ac:dyDescent="0.25">
      <c r="A16">
        <v>15</v>
      </c>
      <c r="B16" t="s">
        <v>36</v>
      </c>
      <c r="C16" t="s">
        <v>11</v>
      </c>
      <c r="D16">
        <v>751</v>
      </c>
      <c r="E16">
        <v>95</v>
      </c>
      <c r="F16" t="s">
        <v>8</v>
      </c>
    </row>
    <row r="17" spans="1:6" x14ac:dyDescent="0.25">
      <c r="A17">
        <v>16</v>
      </c>
      <c r="B17" t="s">
        <v>37</v>
      </c>
      <c r="C17" t="s">
        <v>13</v>
      </c>
      <c r="D17">
        <v>345</v>
      </c>
      <c r="E17">
        <v>293</v>
      </c>
      <c r="F17" t="s">
        <v>14</v>
      </c>
    </row>
    <row r="18" spans="1:6" x14ac:dyDescent="0.25">
      <c r="A18">
        <v>17</v>
      </c>
      <c r="B18" t="s">
        <v>38</v>
      </c>
      <c r="C18" t="s">
        <v>11</v>
      </c>
      <c r="D18">
        <v>774</v>
      </c>
      <c r="E18">
        <v>75</v>
      </c>
      <c r="F18" t="s">
        <v>14</v>
      </c>
    </row>
    <row r="19" spans="1:6" x14ac:dyDescent="0.25">
      <c r="A19">
        <v>18</v>
      </c>
      <c r="B19" t="s">
        <v>39</v>
      </c>
      <c r="C19" t="s">
        <v>11</v>
      </c>
      <c r="D19">
        <v>769</v>
      </c>
      <c r="E19">
        <v>179</v>
      </c>
      <c r="F19" t="s">
        <v>19</v>
      </c>
    </row>
    <row r="20" spans="1:6" x14ac:dyDescent="0.25">
      <c r="A20">
        <v>19</v>
      </c>
      <c r="B20" t="s">
        <v>40</v>
      </c>
      <c r="C20" t="s">
        <v>11</v>
      </c>
      <c r="D20">
        <v>798</v>
      </c>
      <c r="E20">
        <v>54</v>
      </c>
      <c r="F20" t="s">
        <v>19</v>
      </c>
    </row>
    <row r="21" spans="1:6" x14ac:dyDescent="0.25">
      <c r="A21">
        <v>20</v>
      </c>
      <c r="B21" t="s">
        <v>41</v>
      </c>
      <c r="C21" t="s">
        <v>7</v>
      </c>
      <c r="D21">
        <v>387</v>
      </c>
      <c r="E21">
        <v>71</v>
      </c>
      <c r="F21" t="s">
        <v>14</v>
      </c>
    </row>
    <row r="22" spans="1:6" x14ac:dyDescent="0.25">
      <c r="A22">
        <v>21</v>
      </c>
      <c r="B22" t="s">
        <v>42</v>
      </c>
      <c r="C22" t="s">
        <v>30</v>
      </c>
      <c r="D22">
        <v>928</v>
      </c>
      <c r="E22">
        <v>450</v>
      </c>
      <c r="F22" t="s">
        <v>8</v>
      </c>
    </row>
    <row r="23" spans="1:6" x14ac:dyDescent="0.25">
      <c r="A23">
        <v>22</v>
      </c>
      <c r="B23" t="s">
        <v>43</v>
      </c>
      <c r="C23" t="s">
        <v>13</v>
      </c>
      <c r="D23">
        <v>102</v>
      </c>
      <c r="E23">
        <v>143</v>
      </c>
      <c r="F23" t="s">
        <v>23</v>
      </c>
    </row>
    <row r="24" spans="1:6" x14ac:dyDescent="0.25">
      <c r="A24">
        <v>23</v>
      </c>
      <c r="B24" t="s">
        <v>44</v>
      </c>
      <c r="C24" t="s">
        <v>30</v>
      </c>
      <c r="D24">
        <v>841</v>
      </c>
      <c r="E24">
        <v>293</v>
      </c>
      <c r="F24" t="s">
        <v>14</v>
      </c>
    </row>
    <row r="25" spans="1:6" x14ac:dyDescent="0.25">
      <c r="A25">
        <v>24</v>
      </c>
      <c r="B25" t="s">
        <v>45</v>
      </c>
      <c r="C25" t="s">
        <v>11</v>
      </c>
      <c r="D25">
        <v>971</v>
      </c>
      <c r="E25">
        <v>37</v>
      </c>
      <c r="F25" t="s">
        <v>19</v>
      </c>
    </row>
    <row r="26" spans="1:6" x14ac:dyDescent="0.25">
      <c r="A26">
        <v>25</v>
      </c>
      <c r="B26" t="s">
        <v>46</v>
      </c>
      <c r="C26" t="s">
        <v>11</v>
      </c>
      <c r="D26">
        <v>266</v>
      </c>
      <c r="E26">
        <v>117</v>
      </c>
      <c r="F26" t="s">
        <v>8</v>
      </c>
    </row>
    <row r="27" spans="1:6" x14ac:dyDescent="0.25">
      <c r="A27">
        <v>26</v>
      </c>
      <c r="B27" t="s">
        <v>47</v>
      </c>
      <c r="C27" t="s">
        <v>30</v>
      </c>
      <c r="D27">
        <v>813</v>
      </c>
      <c r="E27">
        <v>53</v>
      </c>
      <c r="F27" t="s">
        <v>14</v>
      </c>
    </row>
    <row r="28" spans="1:6" x14ac:dyDescent="0.25">
      <c r="A28">
        <v>27</v>
      </c>
      <c r="B28" t="s">
        <v>48</v>
      </c>
      <c r="C28" t="s">
        <v>30</v>
      </c>
      <c r="D28">
        <v>237</v>
      </c>
      <c r="E28">
        <v>349</v>
      </c>
      <c r="F28" t="s">
        <v>14</v>
      </c>
    </row>
    <row r="29" spans="1:6" x14ac:dyDescent="0.25">
      <c r="A29">
        <v>28</v>
      </c>
      <c r="B29" t="s">
        <v>49</v>
      </c>
      <c r="C29" t="s">
        <v>30</v>
      </c>
      <c r="D29">
        <v>429</v>
      </c>
      <c r="E29">
        <v>295</v>
      </c>
      <c r="F29" t="s">
        <v>8</v>
      </c>
    </row>
    <row r="30" spans="1:6" x14ac:dyDescent="0.25">
      <c r="A30">
        <v>29</v>
      </c>
      <c r="B30" t="s">
        <v>50</v>
      </c>
      <c r="C30" t="s">
        <v>11</v>
      </c>
      <c r="D30">
        <v>542</v>
      </c>
      <c r="E30">
        <v>455</v>
      </c>
      <c r="F30" t="s">
        <v>14</v>
      </c>
    </row>
    <row r="31" spans="1:6" x14ac:dyDescent="0.25">
      <c r="A31">
        <v>30</v>
      </c>
      <c r="B31" t="s">
        <v>51</v>
      </c>
      <c r="C31" t="s">
        <v>11</v>
      </c>
      <c r="D31">
        <v>90</v>
      </c>
      <c r="E31">
        <v>340</v>
      </c>
      <c r="F31" t="s">
        <v>8</v>
      </c>
    </row>
    <row r="32" spans="1:6" x14ac:dyDescent="0.25">
      <c r="A32">
        <v>31</v>
      </c>
      <c r="B32" t="s">
        <v>52</v>
      </c>
      <c r="C32" t="s">
        <v>13</v>
      </c>
      <c r="D32">
        <v>206</v>
      </c>
      <c r="E32">
        <v>137</v>
      </c>
      <c r="F32" t="s">
        <v>23</v>
      </c>
    </row>
    <row r="33" spans="1:6" x14ac:dyDescent="0.25">
      <c r="A33">
        <v>32</v>
      </c>
      <c r="B33" t="s">
        <v>53</v>
      </c>
      <c r="C33" t="s">
        <v>13</v>
      </c>
      <c r="D33">
        <v>64</v>
      </c>
      <c r="E33">
        <v>357</v>
      </c>
      <c r="F33" t="s">
        <v>8</v>
      </c>
    </row>
    <row r="34" spans="1:6" x14ac:dyDescent="0.25">
      <c r="A34">
        <v>33</v>
      </c>
      <c r="B34" t="s">
        <v>54</v>
      </c>
      <c r="C34" t="s">
        <v>11</v>
      </c>
      <c r="D34">
        <v>862</v>
      </c>
      <c r="E34">
        <v>482</v>
      </c>
      <c r="F34" t="s">
        <v>8</v>
      </c>
    </row>
    <row r="35" spans="1:6" x14ac:dyDescent="0.25">
      <c r="A35">
        <v>34</v>
      </c>
      <c r="B35" t="s">
        <v>55</v>
      </c>
      <c r="C35" t="s">
        <v>30</v>
      </c>
      <c r="D35">
        <v>114</v>
      </c>
      <c r="E35">
        <v>240</v>
      </c>
      <c r="F35" t="s">
        <v>8</v>
      </c>
    </row>
    <row r="36" spans="1:6" x14ac:dyDescent="0.25">
      <c r="A36">
        <v>35</v>
      </c>
      <c r="B36" t="s">
        <v>56</v>
      </c>
      <c r="C36" t="s">
        <v>30</v>
      </c>
      <c r="D36">
        <v>906</v>
      </c>
      <c r="E36">
        <v>199</v>
      </c>
      <c r="F36" t="s">
        <v>14</v>
      </c>
    </row>
    <row r="37" spans="1:6" x14ac:dyDescent="0.25">
      <c r="A37">
        <v>36</v>
      </c>
      <c r="B37" t="s">
        <v>57</v>
      </c>
      <c r="C37" t="s">
        <v>13</v>
      </c>
      <c r="D37">
        <v>888</v>
      </c>
      <c r="E37">
        <v>234</v>
      </c>
      <c r="F37" t="s">
        <v>14</v>
      </c>
    </row>
    <row r="38" spans="1:6" x14ac:dyDescent="0.25">
      <c r="A38">
        <v>37</v>
      </c>
      <c r="B38" t="s">
        <v>58</v>
      </c>
      <c r="C38" t="s">
        <v>11</v>
      </c>
      <c r="D38">
        <v>570</v>
      </c>
      <c r="E38">
        <v>394</v>
      </c>
      <c r="F38" t="s">
        <v>8</v>
      </c>
    </row>
    <row r="39" spans="1:6" x14ac:dyDescent="0.25">
      <c r="A39">
        <v>38</v>
      </c>
      <c r="B39" t="s">
        <v>59</v>
      </c>
      <c r="C39" t="s">
        <v>13</v>
      </c>
      <c r="D39">
        <v>393</v>
      </c>
      <c r="E39">
        <v>386</v>
      </c>
      <c r="F39" t="s">
        <v>14</v>
      </c>
    </row>
    <row r="40" spans="1:6" x14ac:dyDescent="0.25">
      <c r="A40">
        <v>39</v>
      </c>
      <c r="B40" t="s">
        <v>60</v>
      </c>
      <c r="C40" t="s">
        <v>13</v>
      </c>
      <c r="D40">
        <v>178</v>
      </c>
      <c r="E40">
        <v>292</v>
      </c>
      <c r="F40" t="s">
        <v>19</v>
      </c>
    </row>
    <row r="41" spans="1:6" x14ac:dyDescent="0.25">
      <c r="A41">
        <v>40</v>
      </c>
      <c r="B41" t="s">
        <v>61</v>
      </c>
      <c r="C41" t="s">
        <v>7</v>
      </c>
      <c r="D41">
        <v>697</v>
      </c>
      <c r="E41">
        <v>455</v>
      </c>
      <c r="F41" t="s">
        <v>19</v>
      </c>
    </row>
    <row r="42" spans="1:6" x14ac:dyDescent="0.25">
      <c r="A42">
        <v>41</v>
      </c>
      <c r="B42" t="s">
        <v>62</v>
      </c>
      <c r="C42" t="s">
        <v>7</v>
      </c>
      <c r="D42">
        <v>521</v>
      </c>
      <c r="E42">
        <v>130</v>
      </c>
      <c r="F42" t="s">
        <v>14</v>
      </c>
    </row>
    <row r="43" spans="1:6" x14ac:dyDescent="0.25">
      <c r="A43">
        <v>42</v>
      </c>
      <c r="B43" t="s">
        <v>63</v>
      </c>
      <c r="C43" t="s">
        <v>7</v>
      </c>
      <c r="D43">
        <v>112</v>
      </c>
      <c r="E43">
        <v>125</v>
      </c>
      <c r="F43" t="s">
        <v>14</v>
      </c>
    </row>
    <row r="44" spans="1:6" x14ac:dyDescent="0.25">
      <c r="A44">
        <v>43</v>
      </c>
      <c r="B44" t="s">
        <v>64</v>
      </c>
      <c r="C44" t="s">
        <v>30</v>
      </c>
      <c r="D44">
        <v>188</v>
      </c>
      <c r="E44">
        <v>470</v>
      </c>
      <c r="F44" t="s">
        <v>8</v>
      </c>
    </row>
    <row r="45" spans="1:6" x14ac:dyDescent="0.25">
      <c r="A45">
        <v>44</v>
      </c>
      <c r="B45" t="s">
        <v>65</v>
      </c>
      <c r="C45" t="s">
        <v>11</v>
      </c>
      <c r="D45">
        <v>548</v>
      </c>
      <c r="E45">
        <v>242</v>
      </c>
      <c r="F45" t="s">
        <v>23</v>
      </c>
    </row>
    <row r="46" spans="1:6" x14ac:dyDescent="0.25">
      <c r="A46">
        <v>45</v>
      </c>
      <c r="B46" t="s">
        <v>66</v>
      </c>
      <c r="C46" t="s">
        <v>11</v>
      </c>
      <c r="D46">
        <v>642</v>
      </c>
      <c r="E46">
        <v>268</v>
      </c>
      <c r="F46" t="s">
        <v>14</v>
      </c>
    </row>
    <row r="47" spans="1:6" x14ac:dyDescent="0.25">
      <c r="A47">
        <v>46</v>
      </c>
      <c r="B47" t="s">
        <v>67</v>
      </c>
      <c r="C47" t="s">
        <v>11</v>
      </c>
      <c r="D47">
        <v>441</v>
      </c>
      <c r="E47">
        <v>368</v>
      </c>
      <c r="F47" t="s">
        <v>19</v>
      </c>
    </row>
    <row r="48" spans="1:6" x14ac:dyDescent="0.25">
      <c r="A48">
        <v>47</v>
      </c>
      <c r="B48" t="s">
        <v>68</v>
      </c>
      <c r="C48" t="s">
        <v>11</v>
      </c>
      <c r="D48">
        <v>724</v>
      </c>
      <c r="E48">
        <v>207</v>
      </c>
      <c r="F48" t="s">
        <v>8</v>
      </c>
    </row>
    <row r="49" spans="1:6" x14ac:dyDescent="0.25">
      <c r="A49">
        <v>48</v>
      </c>
      <c r="B49" t="s">
        <v>69</v>
      </c>
      <c r="C49" t="s">
        <v>7</v>
      </c>
      <c r="D49">
        <v>468</v>
      </c>
      <c r="E49">
        <v>465</v>
      </c>
      <c r="F49" t="s">
        <v>14</v>
      </c>
    </row>
    <row r="50" spans="1:6" x14ac:dyDescent="0.25">
      <c r="A50">
        <v>49</v>
      </c>
      <c r="B50" t="s">
        <v>70</v>
      </c>
      <c r="C50" t="s">
        <v>30</v>
      </c>
      <c r="D50">
        <v>338</v>
      </c>
      <c r="E50">
        <v>420</v>
      </c>
      <c r="F50" t="s">
        <v>19</v>
      </c>
    </row>
    <row r="51" spans="1:6" x14ac:dyDescent="0.25">
      <c r="A51">
        <v>50</v>
      </c>
      <c r="B51" t="s">
        <v>16</v>
      </c>
      <c r="C51" t="s">
        <v>30</v>
      </c>
      <c r="D51">
        <v>428</v>
      </c>
      <c r="E51">
        <v>146</v>
      </c>
      <c r="F51" t="s">
        <v>19</v>
      </c>
    </row>
    <row r="52" spans="1:6" x14ac:dyDescent="0.25">
      <c r="A52">
        <v>51</v>
      </c>
      <c r="B52" t="s">
        <v>71</v>
      </c>
      <c r="C52" t="s">
        <v>7</v>
      </c>
      <c r="D52">
        <v>822</v>
      </c>
      <c r="E52">
        <v>327</v>
      </c>
      <c r="F52" t="s">
        <v>23</v>
      </c>
    </row>
    <row r="53" spans="1:6" x14ac:dyDescent="0.25">
      <c r="A53">
        <v>52</v>
      </c>
      <c r="B53" t="s">
        <v>72</v>
      </c>
      <c r="C53" t="s">
        <v>30</v>
      </c>
      <c r="D53">
        <v>539</v>
      </c>
      <c r="E53">
        <v>174</v>
      </c>
      <c r="F53" t="s">
        <v>8</v>
      </c>
    </row>
    <row r="54" spans="1:6" x14ac:dyDescent="0.25">
      <c r="A54">
        <v>53</v>
      </c>
      <c r="B54" t="s">
        <v>73</v>
      </c>
      <c r="C54" t="s">
        <v>7</v>
      </c>
      <c r="D54">
        <v>280</v>
      </c>
      <c r="E54">
        <v>234</v>
      </c>
      <c r="F54" t="s">
        <v>8</v>
      </c>
    </row>
    <row r="55" spans="1:6" x14ac:dyDescent="0.25">
      <c r="A55">
        <v>54</v>
      </c>
      <c r="B55" t="s">
        <v>74</v>
      </c>
      <c r="C55" t="s">
        <v>11</v>
      </c>
      <c r="D55">
        <v>90</v>
      </c>
      <c r="E55">
        <v>316</v>
      </c>
      <c r="F55" t="s">
        <v>23</v>
      </c>
    </row>
    <row r="56" spans="1:6" x14ac:dyDescent="0.25">
      <c r="A56">
        <v>55</v>
      </c>
      <c r="B56" t="s">
        <v>75</v>
      </c>
      <c r="C56" t="s">
        <v>7</v>
      </c>
      <c r="D56">
        <v>77</v>
      </c>
      <c r="E56">
        <v>243</v>
      </c>
      <c r="F56" t="s">
        <v>23</v>
      </c>
    </row>
    <row r="57" spans="1:6" x14ac:dyDescent="0.25">
      <c r="A57">
        <v>56</v>
      </c>
      <c r="B57" t="s">
        <v>76</v>
      </c>
      <c r="C57" t="s">
        <v>11</v>
      </c>
      <c r="D57">
        <v>184</v>
      </c>
      <c r="E57">
        <v>181</v>
      </c>
      <c r="F57" t="s">
        <v>8</v>
      </c>
    </row>
    <row r="58" spans="1:6" x14ac:dyDescent="0.25">
      <c r="A58">
        <v>57</v>
      </c>
      <c r="B58" t="s">
        <v>77</v>
      </c>
      <c r="C58" t="s">
        <v>11</v>
      </c>
      <c r="D58">
        <v>250</v>
      </c>
      <c r="E58">
        <v>161</v>
      </c>
      <c r="F58" t="s">
        <v>8</v>
      </c>
    </row>
    <row r="59" spans="1:6" x14ac:dyDescent="0.25">
      <c r="A59">
        <v>58</v>
      </c>
      <c r="B59" t="s">
        <v>78</v>
      </c>
      <c r="C59" t="s">
        <v>13</v>
      </c>
      <c r="D59">
        <v>889</v>
      </c>
      <c r="E59">
        <v>472</v>
      </c>
      <c r="F59" t="s">
        <v>14</v>
      </c>
    </row>
    <row r="60" spans="1:6" x14ac:dyDescent="0.25">
      <c r="A60">
        <v>59</v>
      </c>
      <c r="B60" t="s">
        <v>79</v>
      </c>
      <c r="C60" t="s">
        <v>7</v>
      </c>
      <c r="D60">
        <v>829</v>
      </c>
      <c r="E60">
        <v>324</v>
      </c>
      <c r="F60" t="s">
        <v>14</v>
      </c>
    </row>
    <row r="61" spans="1:6" x14ac:dyDescent="0.25">
      <c r="A61">
        <v>60</v>
      </c>
      <c r="B61" t="s">
        <v>80</v>
      </c>
      <c r="C61" t="s">
        <v>13</v>
      </c>
      <c r="D61">
        <v>979</v>
      </c>
      <c r="E61">
        <v>383</v>
      </c>
      <c r="F61" t="s">
        <v>23</v>
      </c>
    </row>
    <row r="62" spans="1:6" x14ac:dyDescent="0.25">
      <c r="A62">
        <v>61</v>
      </c>
      <c r="B62" t="s">
        <v>81</v>
      </c>
      <c r="C62" t="s">
        <v>7</v>
      </c>
      <c r="D62">
        <v>82</v>
      </c>
      <c r="E62">
        <v>169</v>
      </c>
      <c r="F62" t="s">
        <v>14</v>
      </c>
    </row>
    <row r="63" spans="1:6" x14ac:dyDescent="0.25">
      <c r="A63">
        <v>62</v>
      </c>
      <c r="B63" t="s">
        <v>82</v>
      </c>
      <c r="C63" t="s">
        <v>7</v>
      </c>
      <c r="D63">
        <v>97</v>
      </c>
      <c r="E63">
        <v>105</v>
      </c>
      <c r="F63" t="s">
        <v>19</v>
      </c>
    </row>
    <row r="64" spans="1:6" x14ac:dyDescent="0.25">
      <c r="A64">
        <v>63</v>
      </c>
      <c r="B64" t="s">
        <v>83</v>
      </c>
      <c r="C64" t="s">
        <v>13</v>
      </c>
      <c r="D64">
        <v>552</v>
      </c>
      <c r="E64">
        <v>481</v>
      </c>
      <c r="F64" t="s">
        <v>14</v>
      </c>
    </row>
    <row r="65" spans="1:6" x14ac:dyDescent="0.25">
      <c r="A65">
        <v>64</v>
      </c>
      <c r="B65" t="s">
        <v>84</v>
      </c>
      <c r="C65" t="s">
        <v>13</v>
      </c>
      <c r="D65">
        <v>456</v>
      </c>
      <c r="E65">
        <v>242</v>
      </c>
      <c r="F65" t="s">
        <v>14</v>
      </c>
    </row>
    <row r="66" spans="1:6" x14ac:dyDescent="0.25">
      <c r="A66">
        <v>65</v>
      </c>
      <c r="B66" t="s">
        <v>85</v>
      </c>
      <c r="C66" t="s">
        <v>7</v>
      </c>
      <c r="D66">
        <v>623</v>
      </c>
      <c r="E66">
        <v>189</v>
      </c>
      <c r="F66" t="s">
        <v>19</v>
      </c>
    </row>
    <row r="67" spans="1:6" x14ac:dyDescent="0.25">
      <c r="A67">
        <v>66</v>
      </c>
      <c r="B67" t="s">
        <v>86</v>
      </c>
      <c r="C67" t="s">
        <v>30</v>
      </c>
      <c r="D67">
        <v>777</v>
      </c>
      <c r="E67">
        <v>122</v>
      </c>
      <c r="F67" t="s">
        <v>23</v>
      </c>
    </row>
    <row r="68" spans="1:6" x14ac:dyDescent="0.25">
      <c r="A68">
        <v>67</v>
      </c>
      <c r="B68" t="s">
        <v>87</v>
      </c>
      <c r="C68" t="s">
        <v>11</v>
      </c>
      <c r="D68">
        <v>854</v>
      </c>
      <c r="E68">
        <v>327</v>
      </c>
      <c r="F68" t="s">
        <v>19</v>
      </c>
    </row>
    <row r="69" spans="1:6" x14ac:dyDescent="0.25">
      <c r="A69">
        <v>68</v>
      </c>
      <c r="B69" t="s">
        <v>88</v>
      </c>
      <c r="C69" t="s">
        <v>13</v>
      </c>
      <c r="D69">
        <v>148</v>
      </c>
      <c r="E69">
        <v>451</v>
      </c>
      <c r="F69" t="s">
        <v>14</v>
      </c>
    </row>
    <row r="70" spans="1:6" x14ac:dyDescent="0.25">
      <c r="A70">
        <v>69</v>
      </c>
      <c r="B70" t="s">
        <v>89</v>
      </c>
      <c r="C70" t="s">
        <v>11</v>
      </c>
      <c r="D70">
        <v>733</v>
      </c>
      <c r="E70">
        <v>61</v>
      </c>
      <c r="F70" t="s">
        <v>23</v>
      </c>
    </row>
    <row r="71" spans="1:6" x14ac:dyDescent="0.25">
      <c r="A71">
        <v>70</v>
      </c>
      <c r="B71" t="s">
        <v>90</v>
      </c>
      <c r="C71" t="s">
        <v>30</v>
      </c>
      <c r="D71">
        <v>921</v>
      </c>
      <c r="E71">
        <v>277</v>
      </c>
      <c r="F71" t="s">
        <v>14</v>
      </c>
    </row>
    <row r="72" spans="1:6" x14ac:dyDescent="0.25">
      <c r="A72">
        <v>71</v>
      </c>
      <c r="B72" t="s">
        <v>91</v>
      </c>
      <c r="C72" t="s">
        <v>30</v>
      </c>
      <c r="D72">
        <v>775</v>
      </c>
      <c r="E72">
        <v>304</v>
      </c>
      <c r="F72" t="s">
        <v>19</v>
      </c>
    </row>
    <row r="73" spans="1:6" x14ac:dyDescent="0.25">
      <c r="A73">
        <v>72</v>
      </c>
      <c r="B73" t="s">
        <v>92</v>
      </c>
      <c r="C73" t="s">
        <v>30</v>
      </c>
      <c r="D73">
        <v>596</v>
      </c>
      <c r="E73">
        <v>395</v>
      </c>
      <c r="F73" t="s">
        <v>19</v>
      </c>
    </row>
    <row r="74" spans="1:6" x14ac:dyDescent="0.25">
      <c r="A74">
        <v>73</v>
      </c>
      <c r="B74" t="s">
        <v>93</v>
      </c>
      <c r="C74" t="s">
        <v>13</v>
      </c>
      <c r="D74">
        <v>788</v>
      </c>
      <c r="E74">
        <v>396</v>
      </c>
      <c r="F74" t="s">
        <v>14</v>
      </c>
    </row>
    <row r="75" spans="1:6" x14ac:dyDescent="0.25">
      <c r="A75">
        <v>74</v>
      </c>
      <c r="B75" t="s">
        <v>94</v>
      </c>
      <c r="C75" t="s">
        <v>30</v>
      </c>
      <c r="D75">
        <v>662</v>
      </c>
      <c r="E75">
        <v>122</v>
      </c>
      <c r="F75" t="s">
        <v>8</v>
      </c>
    </row>
    <row r="76" spans="1:6" x14ac:dyDescent="0.25">
      <c r="A76">
        <v>75</v>
      </c>
      <c r="B76" t="s">
        <v>95</v>
      </c>
      <c r="C76" t="s">
        <v>13</v>
      </c>
      <c r="D76">
        <v>992</v>
      </c>
      <c r="E76">
        <v>110</v>
      </c>
      <c r="F76" t="s">
        <v>8</v>
      </c>
    </row>
    <row r="77" spans="1:6" x14ac:dyDescent="0.25">
      <c r="A77">
        <v>76</v>
      </c>
      <c r="B77" t="s">
        <v>96</v>
      </c>
      <c r="C77" t="s">
        <v>30</v>
      </c>
      <c r="D77">
        <v>511</v>
      </c>
      <c r="E77">
        <v>122</v>
      </c>
      <c r="F77" t="s">
        <v>19</v>
      </c>
    </row>
    <row r="78" spans="1:6" x14ac:dyDescent="0.25">
      <c r="A78">
        <v>77</v>
      </c>
      <c r="B78" t="s">
        <v>97</v>
      </c>
      <c r="C78" t="s">
        <v>11</v>
      </c>
      <c r="D78">
        <v>692</v>
      </c>
      <c r="E78">
        <v>449</v>
      </c>
      <c r="F78" t="s">
        <v>19</v>
      </c>
    </row>
    <row r="79" spans="1:6" x14ac:dyDescent="0.25">
      <c r="A79">
        <v>78</v>
      </c>
      <c r="B79" t="s">
        <v>98</v>
      </c>
      <c r="C79" t="s">
        <v>11</v>
      </c>
      <c r="D79">
        <v>818</v>
      </c>
      <c r="E79">
        <v>90</v>
      </c>
      <c r="F79" t="s">
        <v>8</v>
      </c>
    </row>
    <row r="80" spans="1:6" x14ac:dyDescent="0.25">
      <c r="A80">
        <v>79</v>
      </c>
      <c r="B80" t="s">
        <v>99</v>
      </c>
      <c r="C80" t="s">
        <v>7</v>
      </c>
      <c r="D80">
        <v>54</v>
      </c>
      <c r="E80">
        <v>196</v>
      </c>
      <c r="F80" t="s">
        <v>8</v>
      </c>
    </row>
    <row r="81" spans="1:6" x14ac:dyDescent="0.25">
      <c r="A81">
        <v>80</v>
      </c>
      <c r="B81" t="s">
        <v>100</v>
      </c>
      <c r="C81" t="s">
        <v>11</v>
      </c>
      <c r="D81">
        <v>267</v>
      </c>
      <c r="E81">
        <v>122</v>
      </c>
      <c r="F81" t="s">
        <v>14</v>
      </c>
    </row>
    <row r="82" spans="1:6" x14ac:dyDescent="0.25">
      <c r="A82">
        <v>81</v>
      </c>
      <c r="B82" t="s">
        <v>101</v>
      </c>
      <c r="C82" t="s">
        <v>7</v>
      </c>
      <c r="D82">
        <v>552</v>
      </c>
      <c r="E82">
        <v>11</v>
      </c>
      <c r="F82" t="s">
        <v>14</v>
      </c>
    </row>
    <row r="83" spans="1:6" x14ac:dyDescent="0.25">
      <c r="A83">
        <v>82</v>
      </c>
      <c r="B83" t="s">
        <v>102</v>
      </c>
      <c r="C83" t="s">
        <v>11</v>
      </c>
      <c r="D83">
        <v>816</v>
      </c>
      <c r="E83">
        <v>139</v>
      </c>
      <c r="F83" t="s">
        <v>8</v>
      </c>
    </row>
    <row r="84" spans="1:6" x14ac:dyDescent="0.25">
      <c r="A84">
        <v>83</v>
      </c>
      <c r="B84" t="s">
        <v>103</v>
      </c>
      <c r="C84" t="s">
        <v>13</v>
      </c>
      <c r="D84">
        <v>447</v>
      </c>
      <c r="E84">
        <v>229</v>
      </c>
      <c r="F84" t="s">
        <v>14</v>
      </c>
    </row>
    <row r="85" spans="1:6" x14ac:dyDescent="0.25">
      <c r="A85">
        <v>84</v>
      </c>
      <c r="B85" t="s">
        <v>104</v>
      </c>
      <c r="C85" t="s">
        <v>11</v>
      </c>
      <c r="D85">
        <v>920</v>
      </c>
      <c r="E85">
        <v>63</v>
      </c>
      <c r="F85" t="s">
        <v>14</v>
      </c>
    </row>
    <row r="86" spans="1:6" x14ac:dyDescent="0.25">
      <c r="A86">
        <v>85</v>
      </c>
      <c r="B86" t="s">
        <v>105</v>
      </c>
      <c r="C86" t="s">
        <v>7</v>
      </c>
      <c r="D86">
        <v>844</v>
      </c>
      <c r="E86">
        <v>352</v>
      </c>
      <c r="F86" t="s">
        <v>23</v>
      </c>
    </row>
    <row r="87" spans="1:6" x14ac:dyDescent="0.25">
      <c r="A87">
        <v>86</v>
      </c>
      <c r="B87" t="s">
        <v>106</v>
      </c>
      <c r="C87" t="s">
        <v>7</v>
      </c>
      <c r="D87">
        <v>442</v>
      </c>
      <c r="E87">
        <v>494</v>
      </c>
      <c r="F87" t="s">
        <v>14</v>
      </c>
    </row>
    <row r="88" spans="1:6" x14ac:dyDescent="0.25">
      <c r="A88">
        <v>87</v>
      </c>
      <c r="B88" t="s">
        <v>107</v>
      </c>
      <c r="C88" t="s">
        <v>30</v>
      </c>
      <c r="D88">
        <v>256</v>
      </c>
      <c r="E88">
        <v>233</v>
      </c>
      <c r="F88" t="s">
        <v>19</v>
      </c>
    </row>
    <row r="89" spans="1:6" x14ac:dyDescent="0.25">
      <c r="A89">
        <v>88</v>
      </c>
      <c r="B89" t="s">
        <v>108</v>
      </c>
      <c r="C89" t="s">
        <v>13</v>
      </c>
      <c r="D89">
        <v>64</v>
      </c>
      <c r="E89">
        <v>234</v>
      </c>
      <c r="F89" t="s">
        <v>14</v>
      </c>
    </row>
    <row r="90" spans="1:6" x14ac:dyDescent="0.25">
      <c r="A90">
        <v>89</v>
      </c>
      <c r="B90" t="s">
        <v>109</v>
      </c>
      <c r="C90" t="s">
        <v>11</v>
      </c>
      <c r="D90">
        <v>907</v>
      </c>
      <c r="E90">
        <v>394</v>
      </c>
      <c r="F90" t="s">
        <v>14</v>
      </c>
    </row>
    <row r="91" spans="1:6" x14ac:dyDescent="0.25">
      <c r="A91">
        <v>90</v>
      </c>
      <c r="B91" t="s">
        <v>110</v>
      </c>
      <c r="C91" t="s">
        <v>30</v>
      </c>
      <c r="D91">
        <v>603</v>
      </c>
      <c r="E91">
        <v>412</v>
      </c>
      <c r="F91" t="s">
        <v>8</v>
      </c>
    </row>
    <row r="92" spans="1:6" x14ac:dyDescent="0.25">
      <c r="A92">
        <v>91</v>
      </c>
      <c r="B92" t="s">
        <v>111</v>
      </c>
      <c r="C92" t="s">
        <v>11</v>
      </c>
      <c r="D92">
        <v>941</v>
      </c>
      <c r="E92">
        <v>135</v>
      </c>
      <c r="F92" t="s">
        <v>19</v>
      </c>
    </row>
    <row r="93" spans="1:6" x14ac:dyDescent="0.25">
      <c r="A93">
        <v>92</v>
      </c>
      <c r="B93" t="s">
        <v>112</v>
      </c>
      <c r="C93" t="s">
        <v>11</v>
      </c>
      <c r="D93">
        <v>510</v>
      </c>
      <c r="E93">
        <v>139</v>
      </c>
      <c r="F93" t="s">
        <v>14</v>
      </c>
    </row>
    <row r="94" spans="1:6" x14ac:dyDescent="0.25">
      <c r="A94">
        <v>93</v>
      </c>
      <c r="B94" t="s">
        <v>113</v>
      </c>
      <c r="C94" t="s">
        <v>30</v>
      </c>
      <c r="D94">
        <v>740</v>
      </c>
      <c r="E94">
        <v>62</v>
      </c>
      <c r="F94" t="s">
        <v>14</v>
      </c>
    </row>
    <row r="95" spans="1:6" x14ac:dyDescent="0.25">
      <c r="A95">
        <v>94</v>
      </c>
      <c r="B95" t="s">
        <v>114</v>
      </c>
      <c r="C95" t="s">
        <v>30</v>
      </c>
      <c r="D95">
        <v>624</v>
      </c>
      <c r="E95">
        <v>181</v>
      </c>
      <c r="F95" t="s">
        <v>23</v>
      </c>
    </row>
    <row r="96" spans="1:6" x14ac:dyDescent="0.25">
      <c r="A96">
        <v>95</v>
      </c>
      <c r="B96" t="s">
        <v>115</v>
      </c>
      <c r="C96" t="s">
        <v>30</v>
      </c>
      <c r="D96">
        <v>913</v>
      </c>
      <c r="E96">
        <v>227</v>
      </c>
      <c r="F96" t="s">
        <v>14</v>
      </c>
    </row>
    <row r="97" spans="1:6" x14ac:dyDescent="0.25">
      <c r="A97">
        <v>96</v>
      </c>
      <c r="B97" t="s">
        <v>116</v>
      </c>
      <c r="C97" t="s">
        <v>30</v>
      </c>
      <c r="D97">
        <v>792</v>
      </c>
      <c r="E97">
        <v>169</v>
      </c>
      <c r="F97" t="s">
        <v>14</v>
      </c>
    </row>
    <row r="98" spans="1:6" x14ac:dyDescent="0.25">
      <c r="A98">
        <v>97</v>
      </c>
      <c r="B98" t="s">
        <v>117</v>
      </c>
      <c r="C98" t="s">
        <v>30</v>
      </c>
      <c r="D98">
        <v>290</v>
      </c>
      <c r="E98">
        <v>207</v>
      </c>
      <c r="F98" t="s">
        <v>23</v>
      </c>
    </row>
    <row r="99" spans="1:6" x14ac:dyDescent="0.25">
      <c r="A99">
        <v>98</v>
      </c>
      <c r="B99" t="s">
        <v>118</v>
      </c>
      <c r="C99" t="s">
        <v>11</v>
      </c>
      <c r="D99">
        <v>613</v>
      </c>
      <c r="E99">
        <v>425</v>
      </c>
      <c r="F99" t="s">
        <v>8</v>
      </c>
    </row>
    <row r="100" spans="1:6" x14ac:dyDescent="0.25">
      <c r="A100">
        <v>99</v>
      </c>
      <c r="B100" t="s">
        <v>33</v>
      </c>
      <c r="C100" t="s">
        <v>30</v>
      </c>
      <c r="D100">
        <v>145</v>
      </c>
      <c r="E100">
        <v>256</v>
      </c>
      <c r="F100" t="s">
        <v>14</v>
      </c>
    </row>
    <row r="101" spans="1:6" x14ac:dyDescent="0.25">
      <c r="A101">
        <v>100</v>
      </c>
      <c r="B101" t="s">
        <v>119</v>
      </c>
      <c r="C101" t="s">
        <v>13</v>
      </c>
      <c r="D101">
        <v>949</v>
      </c>
      <c r="E101">
        <v>333</v>
      </c>
      <c r="F10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FB41-B75C-4790-8833-AB1E810FC502}">
  <dimension ref="A1:DE101"/>
  <sheetViews>
    <sheetView tabSelected="1" topLeftCell="E1" zoomScaleNormal="100" workbookViewId="0">
      <selection activeCell="K40" sqref="K40:N40"/>
    </sheetView>
  </sheetViews>
  <sheetFormatPr defaultRowHeight="15" x14ac:dyDescent="0.25"/>
  <cols>
    <col min="1" max="1" width="11.42578125" customWidth="1"/>
    <col min="2" max="2" width="13.85546875" customWidth="1"/>
    <col min="3" max="3" width="18.5703125" customWidth="1"/>
    <col min="6" max="6" width="14.140625" customWidth="1"/>
    <col min="7" max="7" width="12.42578125" customWidth="1"/>
    <col min="9" max="9" width="17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138</v>
      </c>
    </row>
    <row r="2" spans="1:14" x14ac:dyDescent="0.25">
      <c r="A2">
        <v>1</v>
      </c>
      <c r="B2" t="s">
        <v>6</v>
      </c>
      <c r="C2" t="s">
        <v>7</v>
      </c>
      <c r="D2">
        <v>752</v>
      </c>
      <c r="E2">
        <v>231</v>
      </c>
      <c r="F2" t="s">
        <v>8</v>
      </c>
      <c r="G2" t="str">
        <f>IF(VLOOKUP(A2,$A$2:$F$101,5,FALSE)&lt;100,B2,"Not Found")</f>
        <v>Not Found</v>
      </c>
      <c r="H2" s="14" t="s">
        <v>125</v>
      </c>
      <c r="I2" s="18" t="s">
        <v>120</v>
      </c>
      <c r="J2" s="18"/>
      <c r="K2" s="18"/>
    </row>
    <row r="3" spans="1:14" ht="15.75" thickBot="1" x14ac:dyDescent="0.3">
      <c r="A3">
        <v>2</v>
      </c>
      <c r="B3" t="s">
        <v>10</v>
      </c>
      <c r="C3" t="s">
        <v>11</v>
      </c>
      <c r="D3">
        <v>451</v>
      </c>
      <c r="E3">
        <v>494</v>
      </c>
      <c r="F3" t="s">
        <v>8</v>
      </c>
      <c r="G3" t="str">
        <f t="shared" ref="G3:G66" si="0">IF(VLOOKUP(A3,$A$2:$F$101,5,FALSE)&lt;100,B3,"Not Found")</f>
        <v>Not Found</v>
      </c>
    </row>
    <row r="4" spans="1:14" ht="18.75" customHeight="1" thickBot="1" x14ac:dyDescent="0.3">
      <c r="A4">
        <v>3</v>
      </c>
      <c r="B4" t="s">
        <v>12</v>
      </c>
      <c r="C4" t="s">
        <v>13</v>
      </c>
      <c r="D4">
        <v>779</v>
      </c>
      <c r="E4">
        <v>416</v>
      </c>
      <c r="F4" t="s">
        <v>14</v>
      </c>
      <c r="G4" t="str">
        <f t="shared" si="0"/>
        <v>Not Found</v>
      </c>
      <c r="I4" s="3" t="s">
        <v>0</v>
      </c>
      <c r="J4" s="2"/>
    </row>
    <row r="5" spans="1:14" ht="15.75" thickBot="1" x14ac:dyDescent="0.3">
      <c r="A5">
        <v>4</v>
      </c>
      <c r="B5" t="s">
        <v>17</v>
      </c>
      <c r="C5" t="s">
        <v>7</v>
      </c>
      <c r="D5">
        <v>605</v>
      </c>
      <c r="E5">
        <v>240</v>
      </c>
      <c r="F5" t="s">
        <v>8</v>
      </c>
      <c r="G5" t="str">
        <f t="shared" si="0"/>
        <v>Not Found</v>
      </c>
      <c r="H5" s="14" t="s">
        <v>126</v>
      </c>
      <c r="I5" s="2">
        <v>25</v>
      </c>
      <c r="J5" s="2">
        <f>VLOOKUP(I5,A4:D104,4,0)</f>
        <v>266</v>
      </c>
      <c r="K5" s="17" t="s">
        <v>146</v>
      </c>
      <c r="L5" s="16"/>
      <c r="M5" s="16"/>
    </row>
    <row r="6" spans="1:14" x14ac:dyDescent="0.25">
      <c r="A6">
        <v>5</v>
      </c>
      <c r="B6" t="s">
        <v>18</v>
      </c>
      <c r="C6" t="s">
        <v>7</v>
      </c>
      <c r="D6">
        <v>211</v>
      </c>
      <c r="E6">
        <v>246</v>
      </c>
      <c r="F6" t="s">
        <v>19</v>
      </c>
      <c r="G6" t="str">
        <f t="shared" si="0"/>
        <v>Not Found</v>
      </c>
    </row>
    <row r="7" spans="1:14" x14ac:dyDescent="0.25">
      <c r="A7">
        <v>6</v>
      </c>
      <c r="B7" t="s">
        <v>21</v>
      </c>
      <c r="C7" t="s">
        <v>11</v>
      </c>
      <c r="D7">
        <v>251</v>
      </c>
      <c r="E7">
        <v>152</v>
      </c>
      <c r="F7" t="s">
        <v>8</v>
      </c>
      <c r="G7" t="str">
        <f t="shared" si="0"/>
        <v>Not Found</v>
      </c>
      <c r="H7" s="14" t="s">
        <v>121</v>
      </c>
      <c r="I7" s="18" t="s">
        <v>122</v>
      </c>
      <c r="J7" s="18"/>
      <c r="K7" s="18"/>
      <c r="L7" s="18"/>
    </row>
    <row r="8" spans="1:14" ht="15.75" thickBot="1" x14ac:dyDescent="0.3">
      <c r="A8">
        <v>7</v>
      </c>
      <c r="B8" t="s">
        <v>22</v>
      </c>
      <c r="C8" t="s">
        <v>13</v>
      </c>
      <c r="D8">
        <v>319</v>
      </c>
      <c r="E8">
        <v>180</v>
      </c>
      <c r="F8" t="s">
        <v>23</v>
      </c>
      <c r="G8" t="str">
        <f t="shared" si="0"/>
        <v>Not Found</v>
      </c>
    </row>
    <row r="9" spans="1:14" ht="20.25" customHeight="1" thickBot="1" x14ac:dyDescent="0.3">
      <c r="A9">
        <v>8</v>
      </c>
      <c r="B9" t="s">
        <v>25</v>
      </c>
      <c r="C9" t="s">
        <v>13</v>
      </c>
      <c r="D9">
        <v>912</v>
      </c>
      <c r="E9">
        <v>38</v>
      </c>
      <c r="F9" t="s">
        <v>14</v>
      </c>
      <c r="G9" t="str">
        <f t="shared" si="0"/>
        <v>Product_8</v>
      </c>
      <c r="H9" s="15"/>
      <c r="I9" s="4" t="s">
        <v>1</v>
      </c>
      <c r="J9" s="2"/>
    </row>
    <row r="10" spans="1:14" ht="15.75" thickBot="1" x14ac:dyDescent="0.3">
      <c r="A10">
        <v>9</v>
      </c>
      <c r="B10" t="s">
        <v>27</v>
      </c>
      <c r="C10" t="s">
        <v>7</v>
      </c>
      <c r="D10">
        <v>865</v>
      </c>
      <c r="E10">
        <v>45</v>
      </c>
      <c r="F10" t="s">
        <v>19</v>
      </c>
      <c r="G10" t="str">
        <f t="shared" si="0"/>
        <v>Product_9</v>
      </c>
      <c r="H10" s="14" t="s">
        <v>127</v>
      </c>
      <c r="I10" s="2" t="s">
        <v>16</v>
      </c>
      <c r="J10" s="2">
        <f>VLOOKUP(I10,B7:E107,4,0)</f>
        <v>146</v>
      </c>
      <c r="K10" s="17" t="s">
        <v>147</v>
      </c>
      <c r="L10" s="16"/>
      <c r="M10" s="16"/>
    </row>
    <row r="11" spans="1:14" x14ac:dyDescent="0.25">
      <c r="A11">
        <v>10</v>
      </c>
      <c r="B11" t="s">
        <v>29</v>
      </c>
      <c r="C11" t="s">
        <v>30</v>
      </c>
      <c r="D11">
        <v>320</v>
      </c>
      <c r="E11">
        <v>22</v>
      </c>
      <c r="F11" t="s">
        <v>14</v>
      </c>
      <c r="G11" t="str">
        <f t="shared" si="0"/>
        <v>Product_10</v>
      </c>
    </row>
    <row r="12" spans="1:14" x14ac:dyDescent="0.25">
      <c r="A12">
        <v>11</v>
      </c>
      <c r="B12" t="s">
        <v>31</v>
      </c>
      <c r="C12" t="s">
        <v>7</v>
      </c>
      <c r="D12">
        <v>505</v>
      </c>
      <c r="E12">
        <v>169</v>
      </c>
      <c r="F12" t="s">
        <v>23</v>
      </c>
      <c r="G12" t="str">
        <f t="shared" si="0"/>
        <v>Not Found</v>
      </c>
      <c r="H12" s="14" t="s">
        <v>128</v>
      </c>
      <c r="I12" s="18" t="s">
        <v>123</v>
      </c>
      <c r="J12" s="18"/>
      <c r="K12" s="18"/>
      <c r="L12" s="18"/>
      <c r="M12" s="18"/>
      <c r="N12" s="18"/>
    </row>
    <row r="13" spans="1:14" x14ac:dyDescent="0.25">
      <c r="A13">
        <v>12</v>
      </c>
      <c r="B13" t="s">
        <v>32</v>
      </c>
      <c r="C13" t="s">
        <v>7</v>
      </c>
      <c r="D13">
        <v>511</v>
      </c>
      <c r="E13">
        <v>336</v>
      </c>
      <c r="F13" t="s">
        <v>23</v>
      </c>
      <c r="G13" t="str">
        <f t="shared" si="0"/>
        <v>Not Found</v>
      </c>
    </row>
    <row r="14" spans="1:14" x14ac:dyDescent="0.25">
      <c r="A14">
        <v>13</v>
      </c>
      <c r="B14" t="s">
        <v>34</v>
      </c>
      <c r="C14" t="s">
        <v>7</v>
      </c>
      <c r="D14">
        <v>776</v>
      </c>
      <c r="E14">
        <v>196</v>
      </c>
      <c r="F14" t="s">
        <v>23</v>
      </c>
      <c r="G14" t="str">
        <f t="shared" si="0"/>
        <v>Not Found</v>
      </c>
      <c r="H14" s="14" t="s">
        <v>129</v>
      </c>
      <c r="I14" s="6" t="str">
        <f>VLOOKUP(MAX(D:D),D:F,3,0)</f>
        <v>Supplier_C</v>
      </c>
      <c r="J14" s="17" t="s">
        <v>148</v>
      </c>
      <c r="K14" s="16"/>
      <c r="L14" s="16"/>
      <c r="M14" s="16"/>
    </row>
    <row r="15" spans="1:14" x14ac:dyDescent="0.25">
      <c r="A15">
        <v>14</v>
      </c>
      <c r="B15" t="s">
        <v>35</v>
      </c>
      <c r="C15" t="s">
        <v>7</v>
      </c>
      <c r="D15">
        <v>301</v>
      </c>
      <c r="E15">
        <v>252</v>
      </c>
      <c r="F15" t="s">
        <v>8</v>
      </c>
      <c r="G15" t="str">
        <f t="shared" si="0"/>
        <v>Not Found</v>
      </c>
    </row>
    <row r="16" spans="1:14" x14ac:dyDescent="0.25">
      <c r="A16">
        <v>15</v>
      </c>
      <c r="B16" t="s">
        <v>36</v>
      </c>
      <c r="C16" t="s">
        <v>11</v>
      </c>
      <c r="D16">
        <v>751</v>
      </c>
      <c r="E16">
        <v>95</v>
      </c>
      <c r="F16" t="s">
        <v>8</v>
      </c>
      <c r="G16" t="str">
        <f t="shared" si="0"/>
        <v>Product_15</v>
      </c>
      <c r="H16" s="14" t="s">
        <v>130</v>
      </c>
      <c r="I16" s="18" t="s">
        <v>124</v>
      </c>
      <c r="J16" s="18"/>
      <c r="K16" s="18"/>
      <c r="L16" s="18"/>
      <c r="M16" s="18"/>
    </row>
    <row r="17" spans="1:109" x14ac:dyDescent="0.25">
      <c r="A17">
        <v>16</v>
      </c>
      <c r="B17" t="s">
        <v>37</v>
      </c>
      <c r="C17" t="s">
        <v>13</v>
      </c>
      <c r="D17">
        <v>345</v>
      </c>
      <c r="E17">
        <v>293</v>
      </c>
      <c r="F17" t="s">
        <v>14</v>
      </c>
      <c r="G17" t="str">
        <f t="shared" si="0"/>
        <v>Not Found</v>
      </c>
    </row>
    <row r="18" spans="1:109" ht="16.5" customHeight="1" x14ac:dyDescent="0.25">
      <c r="A18">
        <v>17</v>
      </c>
      <c r="B18" t="s">
        <v>38</v>
      </c>
      <c r="C18" t="s">
        <v>11</v>
      </c>
      <c r="D18">
        <v>774</v>
      </c>
      <c r="E18">
        <v>75</v>
      </c>
      <c r="F18" t="s">
        <v>14</v>
      </c>
      <c r="G18" t="str">
        <f t="shared" si="0"/>
        <v>Product_17</v>
      </c>
      <c r="H18" s="14" t="s">
        <v>131</v>
      </c>
      <c r="I18" s="9" t="str">
        <f>_xlfn.XLOOKUP(MIN(E:E),E:E,C:C,0)</f>
        <v>Home Appliances</v>
      </c>
      <c r="J18" s="16" t="s">
        <v>149</v>
      </c>
      <c r="K18" s="16"/>
      <c r="L18" s="16"/>
      <c r="M18" s="16"/>
    </row>
    <row r="19" spans="1:109" x14ac:dyDescent="0.25">
      <c r="A19">
        <v>18</v>
      </c>
      <c r="B19" t="s">
        <v>39</v>
      </c>
      <c r="C19" t="s">
        <v>11</v>
      </c>
      <c r="D19">
        <v>769</v>
      </c>
      <c r="E19">
        <v>179</v>
      </c>
      <c r="F19" t="s">
        <v>19</v>
      </c>
      <c r="G19" t="str">
        <f t="shared" si="0"/>
        <v>Not Found</v>
      </c>
    </row>
    <row r="20" spans="1:109" x14ac:dyDescent="0.25">
      <c r="A20">
        <v>19</v>
      </c>
      <c r="B20" t="s">
        <v>40</v>
      </c>
      <c r="C20" t="s">
        <v>11</v>
      </c>
      <c r="D20">
        <v>798</v>
      </c>
      <c r="E20">
        <v>54</v>
      </c>
      <c r="F20" t="s">
        <v>19</v>
      </c>
      <c r="G20" t="str">
        <f t="shared" si="0"/>
        <v>Product_19</v>
      </c>
      <c r="H20" s="14" t="s">
        <v>132</v>
      </c>
      <c r="I20" s="18" t="s">
        <v>133</v>
      </c>
      <c r="J20" s="18"/>
      <c r="K20" s="18"/>
      <c r="L20" s="18"/>
      <c r="M20" s="18"/>
      <c r="N20" s="18"/>
    </row>
    <row r="21" spans="1:109" x14ac:dyDescent="0.25">
      <c r="A21">
        <v>20</v>
      </c>
      <c r="B21" t="s">
        <v>41</v>
      </c>
      <c r="C21" t="s">
        <v>7</v>
      </c>
      <c r="D21">
        <v>387</v>
      </c>
      <c r="E21">
        <v>71</v>
      </c>
      <c r="F21" t="s">
        <v>14</v>
      </c>
      <c r="G21" t="str">
        <f t="shared" si="0"/>
        <v>Product_20</v>
      </c>
    </row>
    <row r="22" spans="1:109" ht="15.75" thickBot="1" x14ac:dyDescent="0.3">
      <c r="A22">
        <v>21</v>
      </c>
      <c r="B22" t="s">
        <v>42</v>
      </c>
      <c r="C22" t="s">
        <v>30</v>
      </c>
      <c r="D22">
        <v>928</v>
      </c>
      <c r="E22">
        <v>450</v>
      </c>
      <c r="F22" t="s">
        <v>8</v>
      </c>
      <c r="G22" t="str">
        <f t="shared" si="0"/>
        <v>Not Found</v>
      </c>
      <c r="H22" s="14" t="s">
        <v>134</v>
      </c>
      <c r="I22" s="11" t="str" cm="1">
        <f t="array" ref="I22">IF(AND(F:F="Supplier_C",C:C="Electronics"),"YES","NO")</f>
        <v>NO</v>
      </c>
      <c r="J22" s="19" t="s">
        <v>150</v>
      </c>
      <c r="K22" s="18"/>
      <c r="L22" s="18"/>
      <c r="M22" s="18"/>
      <c r="N22" s="18"/>
      <c r="O22" s="18"/>
    </row>
    <row r="23" spans="1:109" x14ac:dyDescent="0.25">
      <c r="A23">
        <v>22</v>
      </c>
      <c r="B23" t="s">
        <v>43</v>
      </c>
      <c r="C23" t="s">
        <v>13</v>
      </c>
      <c r="D23">
        <v>102</v>
      </c>
      <c r="E23">
        <v>143</v>
      </c>
      <c r="F23" t="s">
        <v>23</v>
      </c>
      <c r="G23" t="str">
        <f t="shared" si="0"/>
        <v>Not Found</v>
      </c>
    </row>
    <row r="24" spans="1:109" x14ac:dyDescent="0.25">
      <c r="A24">
        <v>23</v>
      </c>
      <c r="B24" t="s">
        <v>44</v>
      </c>
      <c r="C24" t="s">
        <v>30</v>
      </c>
      <c r="D24">
        <v>841</v>
      </c>
      <c r="E24">
        <v>293</v>
      </c>
      <c r="F24" t="s">
        <v>14</v>
      </c>
      <c r="G24" t="str">
        <f t="shared" si="0"/>
        <v>Not Found</v>
      </c>
      <c r="H24" s="14" t="s">
        <v>135</v>
      </c>
      <c r="I24" s="18" t="s">
        <v>136</v>
      </c>
      <c r="J24" s="18"/>
      <c r="K24" s="18"/>
      <c r="L24" s="18"/>
      <c r="M24" s="18"/>
      <c r="N24" s="18"/>
      <c r="O24" s="18"/>
      <c r="P24" s="18"/>
      <c r="Q24" s="18"/>
      <c r="R24" s="18"/>
    </row>
    <row r="25" spans="1:109" x14ac:dyDescent="0.25">
      <c r="A25">
        <v>24</v>
      </c>
      <c r="B25" t="s">
        <v>45</v>
      </c>
      <c r="C25" t="s">
        <v>11</v>
      </c>
      <c r="D25">
        <v>971</v>
      </c>
      <c r="E25">
        <v>37</v>
      </c>
      <c r="F25" t="s">
        <v>19</v>
      </c>
      <c r="G25" t="str">
        <f t="shared" si="0"/>
        <v>Product_24</v>
      </c>
    </row>
    <row r="26" spans="1:109" x14ac:dyDescent="0.25">
      <c r="A26">
        <v>25</v>
      </c>
      <c r="B26" t="s">
        <v>46</v>
      </c>
      <c r="C26" t="s">
        <v>11</v>
      </c>
      <c r="D26">
        <v>266</v>
      </c>
      <c r="E26">
        <v>117</v>
      </c>
      <c r="F26" t="s">
        <v>8</v>
      </c>
      <c r="G26" t="str">
        <f t="shared" si="0"/>
        <v>Not Found</v>
      </c>
      <c r="H26" s="14" t="s">
        <v>137</v>
      </c>
      <c r="I26" s="18" t="s">
        <v>139</v>
      </c>
      <c r="J26" s="18"/>
      <c r="K26" s="18"/>
      <c r="L26" s="18"/>
      <c r="M26" s="18"/>
      <c r="N26" s="18" t="s">
        <v>151</v>
      </c>
      <c r="O26" s="18"/>
      <c r="P26" s="18"/>
      <c r="Q26" s="18"/>
      <c r="R26" s="18"/>
      <c r="S26" s="18"/>
      <c r="T26" s="18"/>
    </row>
    <row r="27" spans="1:109" x14ac:dyDescent="0.25">
      <c r="A27">
        <v>26</v>
      </c>
      <c r="B27" t="s">
        <v>47</v>
      </c>
      <c r="C27" t="s">
        <v>30</v>
      </c>
      <c r="D27">
        <v>813</v>
      </c>
      <c r="E27">
        <v>53</v>
      </c>
      <c r="F27" t="s">
        <v>14</v>
      </c>
      <c r="G27" t="str">
        <f t="shared" si="0"/>
        <v>Product_26</v>
      </c>
    </row>
    <row r="28" spans="1:109" x14ac:dyDescent="0.25">
      <c r="A28">
        <v>27</v>
      </c>
      <c r="B28" t="s">
        <v>48</v>
      </c>
      <c r="C28" t="s">
        <v>30</v>
      </c>
      <c r="D28">
        <v>237</v>
      </c>
      <c r="E28">
        <v>349</v>
      </c>
      <c r="F28" t="s">
        <v>14</v>
      </c>
      <c r="G28" t="str">
        <f t="shared" si="0"/>
        <v>Not Found</v>
      </c>
      <c r="H28" s="14" t="s">
        <v>140</v>
      </c>
      <c r="I28" s="18" t="s">
        <v>141</v>
      </c>
      <c r="J28" s="18"/>
      <c r="K28" s="18"/>
      <c r="L28" s="18"/>
      <c r="M28" s="18"/>
      <c r="N28" s="18"/>
    </row>
    <row r="29" spans="1:109" x14ac:dyDescent="0.25">
      <c r="A29">
        <v>28</v>
      </c>
      <c r="B29" t="s">
        <v>49</v>
      </c>
      <c r="C29" t="s">
        <v>30</v>
      </c>
      <c r="D29">
        <v>429</v>
      </c>
      <c r="E29">
        <v>295</v>
      </c>
      <c r="F29" t="s">
        <v>8</v>
      </c>
      <c r="G29" t="str">
        <f t="shared" si="0"/>
        <v>Not Found</v>
      </c>
    </row>
    <row r="30" spans="1:109" x14ac:dyDescent="0.25">
      <c r="A30">
        <v>29</v>
      </c>
      <c r="B30" t="s">
        <v>50</v>
      </c>
      <c r="C30" t="s">
        <v>11</v>
      </c>
      <c r="D30">
        <v>542</v>
      </c>
      <c r="E30">
        <v>455</v>
      </c>
      <c r="F30" t="s">
        <v>14</v>
      </c>
      <c r="G30" t="str">
        <f t="shared" si="0"/>
        <v>Not Found</v>
      </c>
      <c r="H30" s="14" t="s">
        <v>142</v>
      </c>
      <c r="I30" s="1" t="s">
        <v>1</v>
      </c>
      <c r="J30" t="s">
        <v>6</v>
      </c>
      <c r="K30" t="s">
        <v>10</v>
      </c>
      <c r="L30" t="s">
        <v>12</v>
      </c>
      <c r="M30" t="s">
        <v>17</v>
      </c>
      <c r="N30" t="s">
        <v>18</v>
      </c>
      <c r="O30" t="s">
        <v>21</v>
      </c>
      <c r="P30" t="s">
        <v>22</v>
      </c>
      <c r="Q30" t="s">
        <v>25</v>
      </c>
      <c r="R30" t="s">
        <v>27</v>
      </c>
      <c r="S30" t="s">
        <v>29</v>
      </c>
      <c r="T30" t="s">
        <v>31</v>
      </c>
      <c r="U30" t="s">
        <v>32</v>
      </c>
      <c r="V30" t="s">
        <v>34</v>
      </c>
      <c r="W30" t="s">
        <v>35</v>
      </c>
      <c r="X30" t="s">
        <v>36</v>
      </c>
      <c r="Y30" t="s">
        <v>37</v>
      </c>
      <c r="Z30" t="s">
        <v>38</v>
      </c>
      <c r="AA30" t="s">
        <v>39</v>
      </c>
      <c r="AB30" t="s">
        <v>40</v>
      </c>
      <c r="AC30" t="s">
        <v>41</v>
      </c>
      <c r="AD30" t="s">
        <v>42</v>
      </c>
      <c r="AE30" t="s">
        <v>43</v>
      </c>
      <c r="AF30" t="s">
        <v>44</v>
      </c>
      <c r="AG30" t="s">
        <v>45</v>
      </c>
      <c r="AH30" t="s">
        <v>46</v>
      </c>
      <c r="AI30" t="s">
        <v>47</v>
      </c>
      <c r="AJ30" t="s">
        <v>48</v>
      </c>
      <c r="AK30" t="s">
        <v>49</v>
      </c>
      <c r="AL30" t="s">
        <v>50</v>
      </c>
      <c r="AM30" t="s">
        <v>51</v>
      </c>
      <c r="AN30" t="s">
        <v>52</v>
      </c>
      <c r="AO30" t="s">
        <v>53</v>
      </c>
      <c r="AP30" t="s">
        <v>54</v>
      </c>
      <c r="AQ30" t="s">
        <v>55</v>
      </c>
      <c r="AR30" t="s">
        <v>56</v>
      </c>
      <c r="AS30" t="s">
        <v>57</v>
      </c>
      <c r="AT30" t="s">
        <v>58</v>
      </c>
      <c r="AU30" t="s">
        <v>59</v>
      </c>
      <c r="AV30" t="s">
        <v>60</v>
      </c>
      <c r="AW30" t="s">
        <v>61</v>
      </c>
      <c r="AX30" t="s">
        <v>62</v>
      </c>
      <c r="AY30" t="s">
        <v>63</v>
      </c>
      <c r="AZ30" t="s">
        <v>64</v>
      </c>
      <c r="BA30" t="s">
        <v>65</v>
      </c>
      <c r="BB30" t="s">
        <v>66</v>
      </c>
      <c r="BC30" t="s">
        <v>67</v>
      </c>
      <c r="BD30" t="s">
        <v>68</v>
      </c>
      <c r="BE30" t="s">
        <v>69</v>
      </c>
      <c r="BF30" t="s">
        <v>70</v>
      </c>
      <c r="BG30" t="s">
        <v>16</v>
      </c>
      <c r="BH30" t="s">
        <v>71</v>
      </c>
      <c r="BI30" t="s">
        <v>72</v>
      </c>
      <c r="BJ30" t="s">
        <v>73</v>
      </c>
      <c r="BK30" t="s">
        <v>74</v>
      </c>
      <c r="BL30" t="s">
        <v>75</v>
      </c>
      <c r="BM30" t="s">
        <v>76</v>
      </c>
      <c r="BN30" t="s">
        <v>77</v>
      </c>
      <c r="BO30" t="s">
        <v>78</v>
      </c>
      <c r="BP30" t="s">
        <v>79</v>
      </c>
      <c r="BQ30" t="s">
        <v>80</v>
      </c>
      <c r="BR30" t="s">
        <v>81</v>
      </c>
      <c r="BS30" t="s">
        <v>82</v>
      </c>
      <c r="BT30" t="s">
        <v>83</v>
      </c>
      <c r="BU30" t="s">
        <v>84</v>
      </c>
      <c r="BV30" t="s">
        <v>85</v>
      </c>
      <c r="BW30" t="s">
        <v>86</v>
      </c>
      <c r="BX30" t="s">
        <v>87</v>
      </c>
      <c r="BY30" t="s">
        <v>88</v>
      </c>
      <c r="BZ30" t="s">
        <v>89</v>
      </c>
      <c r="CA30" t="s">
        <v>90</v>
      </c>
      <c r="CB30" t="s">
        <v>91</v>
      </c>
      <c r="CC30" t="s">
        <v>92</v>
      </c>
      <c r="CD30" t="s">
        <v>93</v>
      </c>
      <c r="CE30" t="s">
        <v>94</v>
      </c>
      <c r="CF30" t="s">
        <v>95</v>
      </c>
      <c r="CG30" t="s">
        <v>96</v>
      </c>
      <c r="CH30" t="s">
        <v>97</v>
      </c>
      <c r="CI30" t="s">
        <v>98</v>
      </c>
      <c r="CJ30" t="s">
        <v>99</v>
      </c>
      <c r="CK30" t="s">
        <v>100</v>
      </c>
      <c r="CL30" t="s">
        <v>101</v>
      </c>
      <c r="CM30" t="s">
        <v>102</v>
      </c>
      <c r="CN30" t="s">
        <v>103</v>
      </c>
      <c r="CO30" t="s">
        <v>104</v>
      </c>
      <c r="CP30" t="s">
        <v>105</v>
      </c>
      <c r="CQ30" t="s">
        <v>106</v>
      </c>
      <c r="CR30" t="s">
        <v>107</v>
      </c>
      <c r="CS30" t="s">
        <v>108</v>
      </c>
      <c r="CT30" t="s">
        <v>109</v>
      </c>
      <c r="CU30" t="s">
        <v>110</v>
      </c>
      <c r="CV30" t="s">
        <v>111</v>
      </c>
      <c r="CW30" t="s">
        <v>112</v>
      </c>
      <c r="CX30" t="s">
        <v>113</v>
      </c>
      <c r="CY30" t="s">
        <v>114</v>
      </c>
      <c r="CZ30" t="s">
        <v>115</v>
      </c>
      <c r="DA30" t="s">
        <v>116</v>
      </c>
      <c r="DB30" t="s">
        <v>117</v>
      </c>
      <c r="DC30" t="s">
        <v>118</v>
      </c>
      <c r="DD30" t="s">
        <v>33</v>
      </c>
      <c r="DE30" t="s">
        <v>119</v>
      </c>
    </row>
    <row r="31" spans="1:109" x14ac:dyDescent="0.25">
      <c r="A31">
        <v>30</v>
      </c>
      <c r="B31" t="s">
        <v>51</v>
      </c>
      <c r="C31" t="s">
        <v>11</v>
      </c>
      <c r="D31">
        <v>90</v>
      </c>
      <c r="E31">
        <v>340</v>
      </c>
      <c r="F31" t="s">
        <v>8</v>
      </c>
      <c r="G31" t="str">
        <f t="shared" si="0"/>
        <v>Not Found</v>
      </c>
      <c r="I31" s="1" t="s">
        <v>3</v>
      </c>
      <c r="J31">
        <v>752</v>
      </c>
      <c r="K31">
        <v>451</v>
      </c>
      <c r="L31">
        <v>779</v>
      </c>
      <c r="M31">
        <v>605</v>
      </c>
      <c r="N31">
        <v>211</v>
      </c>
      <c r="O31">
        <v>251</v>
      </c>
      <c r="P31">
        <v>319</v>
      </c>
      <c r="Q31">
        <v>912</v>
      </c>
      <c r="R31">
        <v>865</v>
      </c>
      <c r="S31">
        <v>320</v>
      </c>
      <c r="T31">
        <v>505</v>
      </c>
      <c r="U31">
        <v>511</v>
      </c>
      <c r="V31">
        <v>776</v>
      </c>
      <c r="W31">
        <v>301</v>
      </c>
      <c r="X31">
        <v>751</v>
      </c>
      <c r="Y31">
        <v>345</v>
      </c>
      <c r="Z31">
        <v>774</v>
      </c>
      <c r="AA31">
        <v>769</v>
      </c>
      <c r="AB31">
        <v>798</v>
      </c>
      <c r="AC31">
        <v>387</v>
      </c>
      <c r="AD31">
        <v>928</v>
      </c>
      <c r="AE31">
        <v>102</v>
      </c>
      <c r="AF31">
        <v>841</v>
      </c>
      <c r="AG31">
        <v>971</v>
      </c>
      <c r="AH31">
        <v>266</v>
      </c>
      <c r="AI31">
        <v>813</v>
      </c>
      <c r="AJ31">
        <v>237</v>
      </c>
      <c r="AK31">
        <v>429</v>
      </c>
      <c r="AL31">
        <v>542</v>
      </c>
      <c r="AM31">
        <v>90</v>
      </c>
      <c r="AN31">
        <v>206</v>
      </c>
      <c r="AO31">
        <v>64</v>
      </c>
      <c r="AP31">
        <v>862</v>
      </c>
      <c r="AQ31">
        <v>114</v>
      </c>
      <c r="AR31">
        <v>906</v>
      </c>
      <c r="AS31">
        <v>888</v>
      </c>
      <c r="AT31">
        <v>570</v>
      </c>
      <c r="AU31">
        <v>393</v>
      </c>
      <c r="AV31">
        <v>178</v>
      </c>
      <c r="AW31">
        <v>697</v>
      </c>
      <c r="AX31">
        <v>521</v>
      </c>
      <c r="AY31">
        <v>112</v>
      </c>
      <c r="AZ31">
        <v>188</v>
      </c>
      <c r="BA31">
        <v>548</v>
      </c>
      <c r="BB31">
        <v>642</v>
      </c>
      <c r="BC31">
        <v>441</v>
      </c>
      <c r="BD31">
        <v>724</v>
      </c>
      <c r="BE31">
        <v>468</v>
      </c>
      <c r="BF31">
        <v>338</v>
      </c>
      <c r="BG31">
        <v>428</v>
      </c>
      <c r="BH31">
        <v>822</v>
      </c>
      <c r="BI31">
        <v>539</v>
      </c>
      <c r="BJ31">
        <v>280</v>
      </c>
      <c r="BK31">
        <v>90</v>
      </c>
      <c r="BL31">
        <v>77</v>
      </c>
      <c r="BM31">
        <v>184</v>
      </c>
      <c r="BN31">
        <v>250</v>
      </c>
      <c r="BO31">
        <v>889</v>
      </c>
      <c r="BP31">
        <v>829</v>
      </c>
      <c r="BQ31">
        <v>979</v>
      </c>
      <c r="BR31">
        <v>82</v>
      </c>
      <c r="BS31">
        <v>97</v>
      </c>
      <c r="BT31">
        <v>552</v>
      </c>
      <c r="BU31">
        <v>456</v>
      </c>
      <c r="BV31">
        <v>623</v>
      </c>
      <c r="BW31">
        <v>777</v>
      </c>
      <c r="BX31">
        <v>854</v>
      </c>
      <c r="BY31">
        <v>148</v>
      </c>
      <c r="BZ31">
        <v>733</v>
      </c>
      <c r="CA31">
        <v>921</v>
      </c>
      <c r="CB31">
        <v>775</v>
      </c>
      <c r="CC31">
        <v>596</v>
      </c>
      <c r="CD31">
        <v>788</v>
      </c>
      <c r="CE31">
        <v>662</v>
      </c>
      <c r="CF31">
        <v>992</v>
      </c>
      <c r="CG31">
        <v>511</v>
      </c>
      <c r="CH31">
        <v>692</v>
      </c>
      <c r="CI31">
        <v>818</v>
      </c>
      <c r="CJ31">
        <v>54</v>
      </c>
      <c r="CK31">
        <v>267</v>
      </c>
      <c r="CL31">
        <v>552</v>
      </c>
      <c r="CM31">
        <v>816</v>
      </c>
      <c r="CN31">
        <v>447</v>
      </c>
      <c r="CO31">
        <v>920</v>
      </c>
      <c r="CP31">
        <v>844</v>
      </c>
      <c r="CQ31">
        <v>442</v>
      </c>
      <c r="CR31">
        <v>256</v>
      </c>
      <c r="CS31">
        <v>64</v>
      </c>
      <c r="CT31">
        <v>907</v>
      </c>
      <c r="CU31">
        <v>603</v>
      </c>
      <c r="CV31">
        <v>941</v>
      </c>
      <c r="CW31">
        <v>510</v>
      </c>
      <c r="CX31">
        <v>740</v>
      </c>
      <c r="CY31">
        <v>624</v>
      </c>
      <c r="CZ31">
        <v>913</v>
      </c>
      <c r="DA31">
        <v>792</v>
      </c>
      <c r="DB31">
        <v>290</v>
      </c>
      <c r="DC31">
        <v>613</v>
      </c>
      <c r="DD31">
        <v>145</v>
      </c>
      <c r="DE31">
        <v>949</v>
      </c>
    </row>
    <row r="32" spans="1:109" x14ac:dyDescent="0.25">
      <c r="A32">
        <v>31</v>
      </c>
      <c r="B32" t="s">
        <v>52</v>
      </c>
      <c r="C32" t="s">
        <v>13</v>
      </c>
      <c r="D32">
        <v>206</v>
      </c>
      <c r="E32">
        <v>137</v>
      </c>
      <c r="F32" t="s">
        <v>23</v>
      </c>
      <c r="G32" t="str">
        <f t="shared" si="0"/>
        <v>Not Found</v>
      </c>
    </row>
    <row r="33" spans="1:14" x14ac:dyDescent="0.25">
      <c r="A33">
        <v>32</v>
      </c>
      <c r="B33" t="s">
        <v>53</v>
      </c>
      <c r="C33" t="s">
        <v>13</v>
      </c>
      <c r="D33">
        <v>64</v>
      </c>
      <c r="E33">
        <v>357</v>
      </c>
      <c r="F33" t="s">
        <v>8</v>
      </c>
      <c r="G33" t="str">
        <f t="shared" si="0"/>
        <v>Not Found</v>
      </c>
      <c r="I33" s="1" t="s">
        <v>1</v>
      </c>
      <c r="J33" s="1" t="s">
        <v>3</v>
      </c>
    </row>
    <row r="34" spans="1:14" x14ac:dyDescent="0.25">
      <c r="A34">
        <v>33</v>
      </c>
      <c r="B34" t="s">
        <v>54</v>
      </c>
      <c r="C34" t="s">
        <v>11</v>
      </c>
      <c r="D34">
        <v>862</v>
      </c>
      <c r="E34">
        <v>482</v>
      </c>
      <c r="F34" t="s">
        <v>8</v>
      </c>
      <c r="G34" t="str">
        <f t="shared" si="0"/>
        <v>Not Found</v>
      </c>
      <c r="I34" t="s">
        <v>10</v>
      </c>
      <c r="J34">
        <f>HLOOKUP(I34,I30:DE31,2,0)</f>
        <v>451</v>
      </c>
      <c r="K34" s="16" t="s">
        <v>152</v>
      </c>
      <c r="L34" s="16"/>
      <c r="M34" s="16"/>
      <c r="N34" s="16"/>
    </row>
    <row r="35" spans="1:14" x14ac:dyDescent="0.25">
      <c r="A35">
        <v>34</v>
      </c>
      <c r="B35" t="s">
        <v>55</v>
      </c>
      <c r="C35" t="s">
        <v>30</v>
      </c>
      <c r="D35">
        <v>114</v>
      </c>
      <c r="E35">
        <v>240</v>
      </c>
      <c r="F35" t="s">
        <v>8</v>
      </c>
      <c r="G35" t="str">
        <f t="shared" si="0"/>
        <v>Not Found</v>
      </c>
      <c r="I35" s="20" t="s">
        <v>153</v>
      </c>
      <c r="J35">
        <f>HLOOKUP(D3,A3:D3,1,0)</f>
        <v>451</v>
      </c>
      <c r="K35" s="16" t="s">
        <v>154</v>
      </c>
      <c r="L35" s="16"/>
      <c r="M35" s="16"/>
    </row>
    <row r="36" spans="1:14" x14ac:dyDescent="0.25">
      <c r="A36">
        <v>35</v>
      </c>
      <c r="B36" t="s">
        <v>56</v>
      </c>
      <c r="C36" t="s">
        <v>30</v>
      </c>
      <c r="D36">
        <v>906</v>
      </c>
      <c r="E36">
        <v>199</v>
      </c>
      <c r="F36" t="s">
        <v>14</v>
      </c>
      <c r="G36" t="str">
        <f t="shared" si="0"/>
        <v>Not Found</v>
      </c>
    </row>
    <row r="37" spans="1:14" x14ac:dyDescent="0.25">
      <c r="A37">
        <v>36</v>
      </c>
      <c r="B37" t="s">
        <v>57</v>
      </c>
      <c r="C37" t="s">
        <v>13</v>
      </c>
      <c r="D37">
        <v>888</v>
      </c>
      <c r="E37">
        <v>234</v>
      </c>
      <c r="F37" t="s">
        <v>14</v>
      </c>
      <c r="G37" t="str">
        <f t="shared" si="0"/>
        <v>Not Found</v>
      </c>
    </row>
    <row r="38" spans="1:14" x14ac:dyDescent="0.25">
      <c r="A38">
        <v>37</v>
      </c>
      <c r="B38" t="s">
        <v>58</v>
      </c>
      <c r="C38" t="s">
        <v>11</v>
      </c>
      <c r="D38">
        <v>570</v>
      </c>
      <c r="E38">
        <v>394</v>
      </c>
      <c r="F38" t="s">
        <v>8</v>
      </c>
      <c r="G38" t="str">
        <f t="shared" si="0"/>
        <v>Not Found</v>
      </c>
      <c r="H38" s="14" t="s">
        <v>143</v>
      </c>
      <c r="I38" s="18" t="s">
        <v>144</v>
      </c>
      <c r="J38" s="18"/>
      <c r="K38" s="18"/>
      <c r="L38" s="18"/>
      <c r="M38" s="18"/>
    </row>
    <row r="39" spans="1:14" ht="15.75" thickBot="1" x14ac:dyDescent="0.3">
      <c r="A39">
        <v>38</v>
      </c>
      <c r="B39" t="s">
        <v>59</v>
      </c>
      <c r="C39" t="s">
        <v>13</v>
      </c>
      <c r="D39">
        <v>393</v>
      </c>
      <c r="E39">
        <v>386</v>
      </c>
      <c r="F39" t="s">
        <v>14</v>
      </c>
      <c r="G39" t="str">
        <f t="shared" si="0"/>
        <v>Not Found</v>
      </c>
    </row>
    <row r="40" spans="1:14" ht="15.75" thickBot="1" x14ac:dyDescent="0.3">
      <c r="A40">
        <v>39</v>
      </c>
      <c r="B40" t="s">
        <v>60</v>
      </c>
      <c r="C40" t="s">
        <v>13</v>
      </c>
      <c r="D40">
        <v>178</v>
      </c>
      <c r="E40">
        <v>292</v>
      </c>
      <c r="F40" t="s">
        <v>19</v>
      </c>
      <c r="G40" t="str">
        <f t="shared" si="0"/>
        <v>Not Found</v>
      </c>
      <c r="H40" s="14" t="s">
        <v>145</v>
      </c>
      <c r="I40" s="2" t="s">
        <v>33</v>
      </c>
      <c r="J40" s="2">
        <f>INDEX(A:A,MATCH(I40,B:B,0))</f>
        <v>99</v>
      </c>
      <c r="K40" s="17" t="s">
        <v>155</v>
      </c>
      <c r="L40" s="16"/>
      <c r="M40" s="16"/>
      <c r="N40" s="16"/>
    </row>
    <row r="41" spans="1:14" x14ac:dyDescent="0.25">
      <c r="A41">
        <v>40</v>
      </c>
      <c r="B41" t="s">
        <v>61</v>
      </c>
      <c r="C41" t="s">
        <v>7</v>
      </c>
      <c r="D41">
        <v>697</v>
      </c>
      <c r="E41">
        <v>455</v>
      </c>
      <c r="F41" t="s">
        <v>19</v>
      </c>
      <c r="G41" t="str">
        <f t="shared" si="0"/>
        <v>Not Found</v>
      </c>
    </row>
    <row r="42" spans="1:14" x14ac:dyDescent="0.25">
      <c r="A42">
        <v>41</v>
      </c>
      <c r="B42" t="s">
        <v>62</v>
      </c>
      <c r="C42" t="s">
        <v>7</v>
      </c>
      <c r="D42">
        <v>521</v>
      </c>
      <c r="E42">
        <v>130</v>
      </c>
      <c r="F42" t="s">
        <v>14</v>
      </c>
      <c r="G42" t="str">
        <f t="shared" si="0"/>
        <v>Not Found</v>
      </c>
    </row>
    <row r="43" spans="1:14" x14ac:dyDescent="0.25">
      <c r="A43">
        <v>42</v>
      </c>
      <c r="B43" t="s">
        <v>63</v>
      </c>
      <c r="C43" t="s">
        <v>7</v>
      </c>
      <c r="D43">
        <v>112</v>
      </c>
      <c r="E43">
        <v>125</v>
      </c>
      <c r="F43" t="s">
        <v>14</v>
      </c>
      <c r="G43" t="str">
        <f t="shared" si="0"/>
        <v>Not Found</v>
      </c>
    </row>
    <row r="44" spans="1:14" x14ac:dyDescent="0.25">
      <c r="A44">
        <v>43</v>
      </c>
      <c r="B44" t="s">
        <v>64</v>
      </c>
      <c r="C44" t="s">
        <v>30</v>
      </c>
      <c r="D44">
        <v>188</v>
      </c>
      <c r="E44">
        <v>470</v>
      </c>
      <c r="F44" t="s">
        <v>8</v>
      </c>
      <c r="G44" t="str">
        <f t="shared" si="0"/>
        <v>Not Found</v>
      </c>
    </row>
    <row r="45" spans="1:14" x14ac:dyDescent="0.25">
      <c r="A45">
        <v>44</v>
      </c>
      <c r="B45" t="s">
        <v>65</v>
      </c>
      <c r="C45" t="s">
        <v>11</v>
      </c>
      <c r="D45">
        <v>548</v>
      </c>
      <c r="E45">
        <v>242</v>
      </c>
      <c r="F45" t="s">
        <v>23</v>
      </c>
      <c r="G45" t="str">
        <f t="shared" si="0"/>
        <v>Not Found</v>
      </c>
    </row>
    <row r="46" spans="1:14" x14ac:dyDescent="0.25">
      <c r="A46">
        <v>45</v>
      </c>
      <c r="B46" t="s">
        <v>66</v>
      </c>
      <c r="C46" t="s">
        <v>11</v>
      </c>
      <c r="D46">
        <v>642</v>
      </c>
      <c r="E46">
        <v>268</v>
      </c>
      <c r="F46" t="s">
        <v>14</v>
      </c>
      <c r="G46" t="str">
        <f t="shared" si="0"/>
        <v>Not Found</v>
      </c>
    </row>
    <row r="47" spans="1:14" x14ac:dyDescent="0.25">
      <c r="A47">
        <v>46</v>
      </c>
      <c r="B47" t="s">
        <v>67</v>
      </c>
      <c r="C47" t="s">
        <v>11</v>
      </c>
      <c r="D47">
        <v>441</v>
      </c>
      <c r="E47">
        <v>368</v>
      </c>
      <c r="F47" t="s">
        <v>19</v>
      </c>
      <c r="G47" t="str">
        <f t="shared" si="0"/>
        <v>Not Found</v>
      </c>
    </row>
    <row r="48" spans="1:14" x14ac:dyDescent="0.25">
      <c r="A48">
        <v>47</v>
      </c>
      <c r="B48" t="s">
        <v>68</v>
      </c>
      <c r="C48" t="s">
        <v>11</v>
      </c>
      <c r="D48">
        <v>724</v>
      </c>
      <c r="E48">
        <v>207</v>
      </c>
      <c r="F48" t="s">
        <v>8</v>
      </c>
      <c r="G48" t="str">
        <f t="shared" si="0"/>
        <v>Not Found</v>
      </c>
    </row>
    <row r="49" spans="1:7" x14ac:dyDescent="0.25">
      <c r="A49">
        <v>48</v>
      </c>
      <c r="B49" t="s">
        <v>69</v>
      </c>
      <c r="C49" t="s">
        <v>7</v>
      </c>
      <c r="D49">
        <v>468</v>
      </c>
      <c r="E49">
        <v>465</v>
      </c>
      <c r="F49" t="s">
        <v>14</v>
      </c>
      <c r="G49" t="str">
        <f t="shared" si="0"/>
        <v>Not Found</v>
      </c>
    </row>
    <row r="50" spans="1:7" x14ac:dyDescent="0.25">
      <c r="A50">
        <v>49</v>
      </c>
      <c r="B50" t="s">
        <v>70</v>
      </c>
      <c r="C50" t="s">
        <v>30</v>
      </c>
      <c r="D50">
        <v>338</v>
      </c>
      <c r="E50">
        <v>420</v>
      </c>
      <c r="F50" t="s">
        <v>19</v>
      </c>
      <c r="G50" t="str">
        <f t="shared" si="0"/>
        <v>Not Found</v>
      </c>
    </row>
    <row r="51" spans="1:7" x14ac:dyDescent="0.25">
      <c r="A51">
        <v>50</v>
      </c>
      <c r="B51" t="s">
        <v>16</v>
      </c>
      <c r="C51" t="s">
        <v>30</v>
      </c>
      <c r="D51">
        <v>428</v>
      </c>
      <c r="E51">
        <v>146</v>
      </c>
      <c r="F51" t="s">
        <v>19</v>
      </c>
      <c r="G51" t="str">
        <f t="shared" si="0"/>
        <v>Not Found</v>
      </c>
    </row>
    <row r="52" spans="1:7" x14ac:dyDescent="0.25">
      <c r="A52">
        <v>51</v>
      </c>
      <c r="B52" t="s">
        <v>71</v>
      </c>
      <c r="C52" t="s">
        <v>7</v>
      </c>
      <c r="D52">
        <v>822</v>
      </c>
      <c r="E52">
        <v>327</v>
      </c>
      <c r="F52" t="s">
        <v>23</v>
      </c>
      <c r="G52" t="str">
        <f t="shared" si="0"/>
        <v>Not Found</v>
      </c>
    </row>
    <row r="53" spans="1:7" x14ac:dyDescent="0.25">
      <c r="A53">
        <v>52</v>
      </c>
      <c r="B53" t="s">
        <v>72</v>
      </c>
      <c r="C53" t="s">
        <v>30</v>
      </c>
      <c r="D53">
        <v>539</v>
      </c>
      <c r="E53">
        <v>174</v>
      </c>
      <c r="F53" t="s">
        <v>8</v>
      </c>
      <c r="G53" t="str">
        <f t="shared" si="0"/>
        <v>Not Found</v>
      </c>
    </row>
    <row r="54" spans="1:7" x14ac:dyDescent="0.25">
      <c r="A54">
        <v>53</v>
      </c>
      <c r="B54" t="s">
        <v>73</v>
      </c>
      <c r="C54" t="s">
        <v>7</v>
      </c>
      <c r="D54">
        <v>280</v>
      </c>
      <c r="E54">
        <v>234</v>
      </c>
      <c r="F54" t="s">
        <v>8</v>
      </c>
      <c r="G54" t="str">
        <f t="shared" si="0"/>
        <v>Not Found</v>
      </c>
    </row>
    <row r="55" spans="1:7" x14ac:dyDescent="0.25">
      <c r="A55">
        <v>54</v>
      </c>
      <c r="B55" t="s">
        <v>74</v>
      </c>
      <c r="C55" t="s">
        <v>11</v>
      </c>
      <c r="D55">
        <v>90</v>
      </c>
      <c r="E55">
        <v>316</v>
      </c>
      <c r="F55" t="s">
        <v>23</v>
      </c>
      <c r="G55" t="str">
        <f t="shared" si="0"/>
        <v>Not Found</v>
      </c>
    </row>
    <row r="56" spans="1:7" x14ac:dyDescent="0.25">
      <c r="A56">
        <v>55</v>
      </c>
      <c r="B56" t="s">
        <v>75</v>
      </c>
      <c r="C56" t="s">
        <v>7</v>
      </c>
      <c r="D56">
        <v>77</v>
      </c>
      <c r="E56">
        <v>243</v>
      </c>
      <c r="F56" t="s">
        <v>23</v>
      </c>
      <c r="G56" t="str">
        <f t="shared" si="0"/>
        <v>Not Found</v>
      </c>
    </row>
    <row r="57" spans="1:7" x14ac:dyDescent="0.25">
      <c r="A57">
        <v>56</v>
      </c>
      <c r="B57" t="s">
        <v>76</v>
      </c>
      <c r="C57" t="s">
        <v>11</v>
      </c>
      <c r="D57">
        <v>184</v>
      </c>
      <c r="E57">
        <v>181</v>
      </c>
      <c r="F57" t="s">
        <v>8</v>
      </c>
      <c r="G57" t="str">
        <f t="shared" si="0"/>
        <v>Not Found</v>
      </c>
    </row>
    <row r="58" spans="1:7" x14ac:dyDescent="0.25">
      <c r="A58">
        <v>57</v>
      </c>
      <c r="B58" t="s">
        <v>77</v>
      </c>
      <c r="C58" t="s">
        <v>11</v>
      </c>
      <c r="D58">
        <v>250</v>
      </c>
      <c r="E58">
        <v>161</v>
      </c>
      <c r="F58" t="s">
        <v>8</v>
      </c>
      <c r="G58" t="str">
        <f t="shared" si="0"/>
        <v>Not Found</v>
      </c>
    </row>
    <row r="59" spans="1:7" x14ac:dyDescent="0.25">
      <c r="A59">
        <v>58</v>
      </c>
      <c r="B59" t="s">
        <v>78</v>
      </c>
      <c r="C59" t="s">
        <v>13</v>
      </c>
      <c r="D59">
        <v>889</v>
      </c>
      <c r="E59">
        <v>472</v>
      </c>
      <c r="F59" t="s">
        <v>14</v>
      </c>
      <c r="G59" t="str">
        <f t="shared" si="0"/>
        <v>Not Found</v>
      </c>
    </row>
    <row r="60" spans="1:7" x14ac:dyDescent="0.25">
      <c r="A60">
        <v>59</v>
      </c>
      <c r="B60" t="s">
        <v>79</v>
      </c>
      <c r="C60" t="s">
        <v>7</v>
      </c>
      <c r="D60">
        <v>829</v>
      </c>
      <c r="E60">
        <v>324</v>
      </c>
      <c r="F60" t="s">
        <v>14</v>
      </c>
      <c r="G60" t="str">
        <f t="shared" si="0"/>
        <v>Not Found</v>
      </c>
    </row>
    <row r="61" spans="1:7" x14ac:dyDescent="0.25">
      <c r="A61">
        <v>60</v>
      </c>
      <c r="B61" t="s">
        <v>80</v>
      </c>
      <c r="C61" t="s">
        <v>13</v>
      </c>
      <c r="D61">
        <v>979</v>
      </c>
      <c r="E61">
        <v>383</v>
      </c>
      <c r="F61" t="s">
        <v>23</v>
      </c>
      <c r="G61" t="str">
        <f t="shared" si="0"/>
        <v>Not Found</v>
      </c>
    </row>
    <row r="62" spans="1:7" x14ac:dyDescent="0.25">
      <c r="A62">
        <v>61</v>
      </c>
      <c r="B62" t="s">
        <v>81</v>
      </c>
      <c r="C62" t="s">
        <v>7</v>
      </c>
      <c r="D62">
        <v>82</v>
      </c>
      <c r="E62">
        <v>169</v>
      </c>
      <c r="F62" t="s">
        <v>14</v>
      </c>
      <c r="G62" t="str">
        <f t="shared" si="0"/>
        <v>Not Found</v>
      </c>
    </row>
    <row r="63" spans="1:7" x14ac:dyDescent="0.25">
      <c r="A63">
        <v>62</v>
      </c>
      <c r="B63" t="s">
        <v>82</v>
      </c>
      <c r="C63" t="s">
        <v>7</v>
      </c>
      <c r="D63">
        <v>97</v>
      </c>
      <c r="E63">
        <v>105</v>
      </c>
      <c r="F63" t="s">
        <v>19</v>
      </c>
      <c r="G63" t="str">
        <f t="shared" si="0"/>
        <v>Not Found</v>
      </c>
    </row>
    <row r="64" spans="1:7" x14ac:dyDescent="0.25">
      <c r="A64">
        <v>63</v>
      </c>
      <c r="B64" t="s">
        <v>83</v>
      </c>
      <c r="C64" t="s">
        <v>13</v>
      </c>
      <c r="D64">
        <v>552</v>
      </c>
      <c r="E64">
        <v>481</v>
      </c>
      <c r="F64" t="s">
        <v>14</v>
      </c>
      <c r="G64" t="str">
        <f t="shared" si="0"/>
        <v>Not Found</v>
      </c>
    </row>
    <row r="65" spans="1:7" x14ac:dyDescent="0.25">
      <c r="A65">
        <v>64</v>
      </c>
      <c r="B65" t="s">
        <v>84</v>
      </c>
      <c r="C65" t="s">
        <v>13</v>
      </c>
      <c r="D65">
        <v>456</v>
      </c>
      <c r="E65">
        <v>242</v>
      </c>
      <c r="F65" t="s">
        <v>14</v>
      </c>
      <c r="G65" t="str">
        <f t="shared" si="0"/>
        <v>Not Found</v>
      </c>
    </row>
    <row r="66" spans="1:7" x14ac:dyDescent="0.25">
      <c r="A66">
        <v>65</v>
      </c>
      <c r="B66" t="s">
        <v>85</v>
      </c>
      <c r="C66" t="s">
        <v>7</v>
      </c>
      <c r="D66">
        <v>623</v>
      </c>
      <c r="E66">
        <v>189</v>
      </c>
      <c r="F66" t="s">
        <v>19</v>
      </c>
      <c r="G66" t="str">
        <f t="shared" si="0"/>
        <v>Not Found</v>
      </c>
    </row>
    <row r="67" spans="1:7" x14ac:dyDescent="0.25">
      <c r="A67">
        <v>66</v>
      </c>
      <c r="B67" t="s">
        <v>86</v>
      </c>
      <c r="C67" t="s">
        <v>30</v>
      </c>
      <c r="D67">
        <v>777</v>
      </c>
      <c r="E67">
        <v>122</v>
      </c>
      <c r="F67" t="s">
        <v>23</v>
      </c>
      <c r="G67" t="str">
        <f t="shared" ref="G67:G101" si="1">IF(VLOOKUP(A67,$A$2:$F$101,5,FALSE)&lt;100,B67,"Not Found")</f>
        <v>Not Found</v>
      </c>
    </row>
    <row r="68" spans="1:7" x14ac:dyDescent="0.25">
      <c r="A68">
        <v>67</v>
      </c>
      <c r="B68" t="s">
        <v>87</v>
      </c>
      <c r="C68" t="s">
        <v>11</v>
      </c>
      <c r="D68">
        <v>854</v>
      </c>
      <c r="E68">
        <v>327</v>
      </c>
      <c r="F68" t="s">
        <v>19</v>
      </c>
      <c r="G68" t="str">
        <f t="shared" si="1"/>
        <v>Not Found</v>
      </c>
    </row>
    <row r="69" spans="1:7" x14ac:dyDescent="0.25">
      <c r="A69">
        <v>68</v>
      </c>
      <c r="B69" t="s">
        <v>88</v>
      </c>
      <c r="C69" t="s">
        <v>13</v>
      </c>
      <c r="D69">
        <v>148</v>
      </c>
      <c r="E69">
        <v>451</v>
      </c>
      <c r="F69" t="s">
        <v>14</v>
      </c>
      <c r="G69" t="str">
        <f t="shared" si="1"/>
        <v>Not Found</v>
      </c>
    </row>
    <row r="70" spans="1:7" x14ac:dyDescent="0.25">
      <c r="A70">
        <v>69</v>
      </c>
      <c r="B70" t="s">
        <v>89</v>
      </c>
      <c r="C70" t="s">
        <v>11</v>
      </c>
      <c r="D70">
        <v>733</v>
      </c>
      <c r="E70">
        <v>61</v>
      </c>
      <c r="F70" t="s">
        <v>23</v>
      </c>
      <c r="G70" t="str">
        <f t="shared" si="1"/>
        <v>Product_69</v>
      </c>
    </row>
    <row r="71" spans="1:7" x14ac:dyDescent="0.25">
      <c r="A71">
        <v>70</v>
      </c>
      <c r="B71" t="s">
        <v>90</v>
      </c>
      <c r="C71" t="s">
        <v>30</v>
      </c>
      <c r="D71">
        <v>921</v>
      </c>
      <c r="E71">
        <v>277</v>
      </c>
      <c r="F71" t="s">
        <v>14</v>
      </c>
      <c r="G71" t="str">
        <f t="shared" si="1"/>
        <v>Not Found</v>
      </c>
    </row>
    <row r="72" spans="1:7" x14ac:dyDescent="0.25">
      <c r="A72">
        <v>71</v>
      </c>
      <c r="B72" t="s">
        <v>91</v>
      </c>
      <c r="C72" t="s">
        <v>30</v>
      </c>
      <c r="D72">
        <v>775</v>
      </c>
      <c r="E72">
        <v>304</v>
      </c>
      <c r="F72" t="s">
        <v>19</v>
      </c>
      <c r="G72" t="str">
        <f t="shared" si="1"/>
        <v>Not Found</v>
      </c>
    </row>
    <row r="73" spans="1:7" x14ac:dyDescent="0.25">
      <c r="A73">
        <v>72</v>
      </c>
      <c r="B73" t="s">
        <v>92</v>
      </c>
      <c r="C73" t="s">
        <v>30</v>
      </c>
      <c r="D73">
        <v>596</v>
      </c>
      <c r="E73">
        <v>395</v>
      </c>
      <c r="F73" t="s">
        <v>19</v>
      </c>
      <c r="G73" t="str">
        <f t="shared" si="1"/>
        <v>Not Found</v>
      </c>
    </row>
    <row r="74" spans="1:7" x14ac:dyDescent="0.25">
      <c r="A74">
        <v>73</v>
      </c>
      <c r="B74" t="s">
        <v>93</v>
      </c>
      <c r="C74" t="s">
        <v>13</v>
      </c>
      <c r="D74">
        <v>788</v>
      </c>
      <c r="E74">
        <v>396</v>
      </c>
      <c r="F74" t="s">
        <v>14</v>
      </c>
      <c r="G74" t="str">
        <f t="shared" si="1"/>
        <v>Not Found</v>
      </c>
    </row>
    <row r="75" spans="1:7" x14ac:dyDescent="0.25">
      <c r="A75">
        <v>74</v>
      </c>
      <c r="B75" t="s">
        <v>94</v>
      </c>
      <c r="C75" t="s">
        <v>30</v>
      </c>
      <c r="D75">
        <v>662</v>
      </c>
      <c r="E75">
        <v>122</v>
      </c>
      <c r="F75" t="s">
        <v>8</v>
      </c>
      <c r="G75" t="str">
        <f t="shared" si="1"/>
        <v>Not Found</v>
      </c>
    </row>
    <row r="76" spans="1:7" x14ac:dyDescent="0.25">
      <c r="A76">
        <v>75</v>
      </c>
      <c r="B76" t="s">
        <v>95</v>
      </c>
      <c r="C76" t="s">
        <v>13</v>
      </c>
      <c r="D76">
        <v>992</v>
      </c>
      <c r="E76">
        <v>110</v>
      </c>
      <c r="F76" t="s">
        <v>8</v>
      </c>
      <c r="G76" t="str">
        <f t="shared" si="1"/>
        <v>Not Found</v>
      </c>
    </row>
    <row r="77" spans="1:7" x14ac:dyDescent="0.25">
      <c r="A77">
        <v>76</v>
      </c>
      <c r="B77" t="s">
        <v>96</v>
      </c>
      <c r="C77" t="s">
        <v>30</v>
      </c>
      <c r="D77">
        <v>511</v>
      </c>
      <c r="E77">
        <v>122</v>
      </c>
      <c r="F77" t="s">
        <v>19</v>
      </c>
      <c r="G77" t="str">
        <f t="shared" si="1"/>
        <v>Not Found</v>
      </c>
    </row>
    <row r="78" spans="1:7" x14ac:dyDescent="0.25">
      <c r="A78">
        <v>77</v>
      </c>
      <c r="B78" t="s">
        <v>97</v>
      </c>
      <c r="C78" t="s">
        <v>11</v>
      </c>
      <c r="D78">
        <v>692</v>
      </c>
      <c r="E78">
        <v>449</v>
      </c>
      <c r="F78" t="s">
        <v>19</v>
      </c>
      <c r="G78" t="str">
        <f t="shared" si="1"/>
        <v>Not Found</v>
      </c>
    </row>
    <row r="79" spans="1:7" x14ac:dyDescent="0.25">
      <c r="A79">
        <v>78</v>
      </c>
      <c r="B79" t="s">
        <v>98</v>
      </c>
      <c r="C79" t="s">
        <v>11</v>
      </c>
      <c r="D79">
        <v>818</v>
      </c>
      <c r="E79">
        <v>90</v>
      </c>
      <c r="F79" t="s">
        <v>8</v>
      </c>
      <c r="G79" t="str">
        <f t="shared" si="1"/>
        <v>Product_78</v>
      </c>
    </row>
    <row r="80" spans="1:7" x14ac:dyDescent="0.25">
      <c r="A80">
        <v>79</v>
      </c>
      <c r="B80" t="s">
        <v>99</v>
      </c>
      <c r="C80" t="s">
        <v>7</v>
      </c>
      <c r="D80">
        <v>54</v>
      </c>
      <c r="E80">
        <v>196</v>
      </c>
      <c r="F80" t="s">
        <v>8</v>
      </c>
      <c r="G80" t="str">
        <f t="shared" si="1"/>
        <v>Not Found</v>
      </c>
    </row>
    <row r="81" spans="1:7" x14ac:dyDescent="0.25">
      <c r="A81">
        <v>80</v>
      </c>
      <c r="B81" t="s">
        <v>100</v>
      </c>
      <c r="C81" t="s">
        <v>11</v>
      </c>
      <c r="D81">
        <v>267</v>
      </c>
      <c r="E81">
        <v>122</v>
      </c>
      <c r="F81" t="s">
        <v>14</v>
      </c>
      <c r="G81" t="str">
        <f t="shared" si="1"/>
        <v>Not Found</v>
      </c>
    </row>
    <row r="82" spans="1:7" x14ac:dyDescent="0.25">
      <c r="A82">
        <v>81</v>
      </c>
      <c r="B82" t="s">
        <v>101</v>
      </c>
      <c r="C82" t="s">
        <v>7</v>
      </c>
      <c r="D82">
        <v>552</v>
      </c>
      <c r="E82">
        <v>11</v>
      </c>
      <c r="F82" t="s">
        <v>14</v>
      </c>
      <c r="G82" t="str">
        <f t="shared" si="1"/>
        <v>Product_81</v>
      </c>
    </row>
    <row r="83" spans="1:7" x14ac:dyDescent="0.25">
      <c r="A83">
        <v>82</v>
      </c>
      <c r="B83" t="s">
        <v>102</v>
      </c>
      <c r="C83" t="s">
        <v>11</v>
      </c>
      <c r="D83">
        <v>816</v>
      </c>
      <c r="E83">
        <v>139</v>
      </c>
      <c r="F83" t="s">
        <v>8</v>
      </c>
      <c r="G83" t="str">
        <f t="shared" si="1"/>
        <v>Not Found</v>
      </c>
    </row>
    <row r="84" spans="1:7" x14ac:dyDescent="0.25">
      <c r="A84">
        <v>83</v>
      </c>
      <c r="B84" t="s">
        <v>103</v>
      </c>
      <c r="C84" t="s">
        <v>13</v>
      </c>
      <c r="D84">
        <v>447</v>
      </c>
      <c r="E84">
        <v>229</v>
      </c>
      <c r="F84" t="s">
        <v>14</v>
      </c>
      <c r="G84" t="str">
        <f t="shared" si="1"/>
        <v>Not Found</v>
      </c>
    </row>
    <row r="85" spans="1:7" x14ac:dyDescent="0.25">
      <c r="A85">
        <v>84</v>
      </c>
      <c r="B85" t="s">
        <v>104</v>
      </c>
      <c r="C85" t="s">
        <v>11</v>
      </c>
      <c r="D85">
        <v>920</v>
      </c>
      <c r="E85">
        <v>63</v>
      </c>
      <c r="F85" t="s">
        <v>14</v>
      </c>
      <c r="G85" t="str">
        <f t="shared" si="1"/>
        <v>Product_84</v>
      </c>
    </row>
    <row r="86" spans="1:7" x14ac:dyDescent="0.25">
      <c r="A86">
        <v>85</v>
      </c>
      <c r="B86" t="s">
        <v>105</v>
      </c>
      <c r="C86" t="s">
        <v>7</v>
      </c>
      <c r="D86">
        <v>844</v>
      </c>
      <c r="E86">
        <v>352</v>
      </c>
      <c r="F86" t="s">
        <v>23</v>
      </c>
      <c r="G86" t="str">
        <f t="shared" si="1"/>
        <v>Not Found</v>
      </c>
    </row>
    <row r="87" spans="1:7" x14ac:dyDescent="0.25">
      <c r="A87">
        <v>86</v>
      </c>
      <c r="B87" t="s">
        <v>106</v>
      </c>
      <c r="C87" t="s">
        <v>7</v>
      </c>
      <c r="D87">
        <v>442</v>
      </c>
      <c r="E87">
        <v>494</v>
      </c>
      <c r="F87" t="s">
        <v>14</v>
      </c>
      <c r="G87" t="str">
        <f t="shared" si="1"/>
        <v>Not Found</v>
      </c>
    </row>
    <row r="88" spans="1:7" x14ac:dyDescent="0.25">
      <c r="A88">
        <v>87</v>
      </c>
      <c r="B88" t="s">
        <v>107</v>
      </c>
      <c r="C88" t="s">
        <v>30</v>
      </c>
      <c r="D88">
        <v>256</v>
      </c>
      <c r="E88">
        <v>233</v>
      </c>
      <c r="F88" t="s">
        <v>19</v>
      </c>
      <c r="G88" t="str">
        <f t="shared" si="1"/>
        <v>Not Found</v>
      </c>
    </row>
    <row r="89" spans="1:7" x14ac:dyDescent="0.25">
      <c r="A89">
        <v>88</v>
      </c>
      <c r="B89" t="s">
        <v>108</v>
      </c>
      <c r="C89" t="s">
        <v>13</v>
      </c>
      <c r="D89">
        <v>64</v>
      </c>
      <c r="E89">
        <v>234</v>
      </c>
      <c r="F89" t="s">
        <v>14</v>
      </c>
      <c r="G89" t="str">
        <f t="shared" si="1"/>
        <v>Not Found</v>
      </c>
    </row>
    <row r="90" spans="1:7" x14ac:dyDescent="0.25">
      <c r="A90">
        <v>89</v>
      </c>
      <c r="B90" t="s">
        <v>109</v>
      </c>
      <c r="C90" t="s">
        <v>11</v>
      </c>
      <c r="D90">
        <v>907</v>
      </c>
      <c r="E90">
        <v>394</v>
      </c>
      <c r="F90" t="s">
        <v>14</v>
      </c>
      <c r="G90" t="str">
        <f t="shared" si="1"/>
        <v>Not Found</v>
      </c>
    </row>
    <row r="91" spans="1:7" x14ac:dyDescent="0.25">
      <c r="A91">
        <v>90</v>
      </c>
      <c r="B91" t="s">
        <v>110</v>
      </c>
      <c r="C91" t="s">
        <v>30</v>
      </c>
      <c r="D91">
        <v>603</v>
      </c>
      <c r="E91">
        <v>412</v>
      </c>
      <c r="F91" t="s">
        <v>8</v>
      </c>
      <c r="G91" t="str">
        <f t="shared" si="1"/>
        <v>Not Found</v>
      </c>
    </row>
    <row r="92" spans="1:7" x14ac:dyDescent="0.25">
      <c r="A92">
        <v>91</v>
      </c>
      <c r="B92" t="s">
        <v>111</v>
      </c>
      <c r="C92" t="s">
        <v>11</v>
      </c>
      <c r="D92">
        <v>941</v>
      </c>
      <c r="E92">
        <v>135</v>
      </c>
      <c r="F92" t="s">
        <v>19</v>
      </c>
      <c r="G92" t="str">
        <f t="shared" si="1"/>
        <v>Not Found</v>
      </c>
    </row>
    <row r="93" spans="1:7" x14ac:dyDescent="0.25">
      <c r="A93">
        <v>92</v>
      </c>
      <c r="B93" t="s">
        <v>112</v>
      </c>
      <c r="C93" t="s">
        <v>11</v>
      </c>
      <c r="D93">
        <v>510</v>
      </c>
      <c r="E93">
        <v>139</v>
      </c>
      <c r="F93" t="s">
        <v>14</v>
      </c>
      <c r="G93" t="str">
        <f t="shared" si="1"/>
        <v>Not Found</v>
      </c>
    </row>
    <row r="94" spans="1:7" x14ac:dyDescent="0.25">
      <c r="A94">
        <v>93</v>
      </c>
      <c r="B94" t="s">
        <v>113</v>
      </c>
      <c r="C94" t="s">
        <v>30</v>
      </c>
      <c r="D94">
        <v>740</v>
      </c>
      <c r="E94">
        <v>62</v>
      </c>
      <c r="F94" t="s">
        <v>14</v>
      </c>
      <c r="G94" t="str">
        <f t="shared" si="1"/>
        <v>Product_93</v>
      </c>
    </row>
    <row r="95" spans="1:7" x14ac:dyDescent="0.25">
      <c r="A95">
        <v>94</v>
      </c>
      <c r="B95" t="s">
        <v>114</v>
      </c>
      <c r="C95" t="s">
        <v>30</v>
      </c>
      <c r="D95">
        <v>624</v>
      </c>
      <c r="E95">
        <v>181</v>
      </c>
      <c r="F95" t="s">
        <v>23</v>
      </c>
      <c r="G95" t="str">
        <f t="shared" si="1"/>
        <v>Not Found</v>
      </c>
    </row>
    <row r="96" spans="1:7" x14ac:dyDescent="0.25">
      <c r="A96">
        <v>95</v>
      </c>
      <c r="B96" t="s">
        <v>115</v>
      </c>
      <c r="C96" t="s">
        <v>30</v>
      </c>
      <c r="D96">
        <v>913</v>
      </c>
      <c r="E96">
        <v>227</v>
      </c>
      <c r="F96" t="s">
        <v>14</v>
      </c>
      <c r="G96" t="str">
        <f t="shared" si="1"/>
        <v>Not Found</v>
      </c>
    </row>
    <row r="97" spans="1:7" x14ac:dyDescent="0.25">
      <c r="A97">
        <v>96</v>
      </c>
      <c r="B97" t="s">
        <v>116</v>
      </c>
      <c r="C97" t="s">
        <v>30</v>
      </c>
      <c r="D97">
        <v>792</v>
      </c>
      <c r="E97">
        <v>169</v>
      </c>
      <c r="F97" t="s">
        <v>14</v>
      </c>
      <c r="G97" t="str">
        <f t="shared" si="1"/>
        <v>Not Found</v>
      </c>
    </row>
    <row r="98" spans="1:7" x14ac:dyDescent="0.25">
      <c r="A98">
        <v>97</v>
      </c>
      <c r="B98" t="s">
        <v>117</v>
      </c>
      <c r="C98" t="s">
        <v>30</v>
      </c>
      <c r="D98">
        <v>290</v>
      </c>
      <c r="E98">
        <v>207</v>
      </c>
      <c r="F98" t="s">
        <v>23</v>
      </c>
      <c r="G98" t="str">
        <f t="shared" si="1"/>
        <v>Not Found</v>
      </c>
    </row>
    <row r="99" spans="1:7" x14ac:dyDescent="0.25">
      <c r="A99">
        <v>98</v>
      </c>
      <c r="B99" t="s">
        <v>118</v>
      </c>
      <c r="C99" t="s">
        <v>11</v>
      </c>
      <c r="D99">
        <v>613</v>
      </c>
      <c r="E99">
        <v>425</v>
      </c>
      <c r="F99" t="s">
        <v>8</v>
      </c>
      <c r="G99" t="str">
        <f t="shared" si="1"/>
        <v>Not Found</v>
      </c>
    </row>
    <row r="100" spans="1:7" x14ac:dyDescent="0.25">
      <c r="A100">
        <v>99</v>
      </c>
      <c r="B100" t="s">
        <v>33</v>
      </c>
      <c r="C100" t="s">
        <v>30</v>
      </c>
      <c r="D100">
        <v>145</v>
      </c>
      <c r="E100">
        <v>256</v>
      </c>
      <c r="F100" t="s">
        <v>14</v>
      </c>
      <c r="G100" t="str">
        <f t="shared" si="1"/>
        <v>Not Found</v>
      </c>
    </row>
    <row r="101" spans="1:7" x14ac:dyDescent="0.25">
      <c r="A101">
        <v>100</v>
      </c>
      <c r="B101" t="s">
        <v>119</v>
      </c>
      <c r="C101" t="s">
        <v>13</v>
      </c>
      <c r="D101">
        <v>949</v>
      </c>
      <c r="E101">
        <v>333</v>
      </c>
      <c r="F101" t="s">
        <v>23</v>
      </c>
      <c r="G101" t="str">
        <f t="shared" si="1"/>
        <v>Not Found</v>
      </c>
    </row>
  </sheetData>
  <mergeCells count="18">
    <mergeCell ref="K35:M35"/>
    <mergeCell ref="K40:N40"/>
    <mergeCell ref="I16:M16"/>
    <mergeCell ref="I20:N20"/>
    <mergeCell ref="I24:R24"/>
    <mergeCell ref="I28:N28"/>
    <mergeCell ref="I38:M38"/>
    <mergeCell ref="J18:M18"/>
    <mergeCell ref="J22:O22"/>
    <mergeCell ref="I26:M26"/>
    <mergeCell ref="N26:T26"/>
    <mergeCell ref="K34:N34"/>
    <mergeCell ref="K5:M5"/>
    <mergeCell ref="K10:M10"/>
    <mergeCell ref="J14:M14"/>
    <mergeCell ref="I2:K2"/>
    <mergeCell ref="I7:L7"/>
    <mergeCell ref="I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ali</dc:creator>
  <cp:lastModifiedBy>hafsa ali</cp:lastModifiedBy>
  <dcterms:created xsi:type="dcterms:W3CDTF">2025-12-12T10:07:37Z</dcterms:created>
  <dcterms:modified xsi:type="dcterms:W3CDTF">2025-12-23T14:07:31Z</dcterms:modified>
</cp:coreProperties>
</file>